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DSP FULL ANALYSIS/AGENT STRATEGY/"/>
    </mc:Choice>
  </mc:AlternateContent>
  <xr:revisionPtr revIDLastSave="58" documentId="8_{E6D9F61A-EB24-4886-A9D4-777E4658DB38}" xr6:coauthVersionLast="47" xr6:coauthVersionMax="47" xr10:uidLastSave="{96F7914F-CB5D-41D6-90CC-87CCBF3AEAB7}"/>
  <bookViews>
    <workbookView xWindow="-28920" yWindow="-15" windowWidth="29040" windowHeight="15720" xr2:uid="{00000000-000D-0000-FFFF-FFFF00000000}"/>
  </bookViews>
  <sheets>
    <sheet name="Account Strategy_Analysis" sheetId="1" r:id="rId1"/>
    <sheet name="Account Strateg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2" i="1" s="1"/>
  <c r="N2" i="2"/>
  <c r="E8" i="3" s="1"/>
  <c r="N3" i="2"/>
  <c r="E9" i="3" s="1"/>
  <c r="N4" i="2"/>
  <c r="E10" i="3" s="1"/>
  <c r="N5" i="2"/>
  <c r="E11" i="3" s="1"/>
  <c r="N6" i="2"/>
  <c r="E12" i="3" s="1"/>
  <c r="L2" i="2"/>
  <c r="L3" i="2"/>
  <c r="L4" i="2"/>
  <c r="L5" i="2"/>
  <c r="L6" i="2"/>
  <c r="D9" i="3"/>
  <c r="F9" i="3" s="1"/>
  <c r="D10" i="3"/>
  <c r="F10" i="3" s="1"/>
  <c r="D11" i="3"/>
  <c r="F11" i="3" s="1"/>
  <c r="D12" i="3"/>
  <c r="F12" i="3" s="1"/>
  <c r="A12" i="3"/>
  <c r="B12" i="3"/>
  <c r="C12" i="3"/>
  <c r="C11" i="3"/>
  <c r="B11" i="3"/>
  <c r="A11" i="3"/>
  <c r="C10" i="3"/>
  <c r="B10" i="3"/>
  <c r="A10" i="3"/>
  <c r="C9" i="3"/>
  <c r="B9" i="3"/>
  <c r="A9" i="3"/>
  <c r="D8" i="3"/>
  <c r="C8" i="3"/>
  <c r="B8" i="3"/>
  <c r="A8" i="3"/>
  <c r="F8" i="3" l="1"/>
  <c r="B3" i="3" l="1"/>
  <c r="B4" i="3" s="1"/>
  <c r="B5" i="3" s="1"/>
  <c r="D7" i="1" s="1"/>
  <c r="D8" i="1" s="1" a="1"/>
  <c r="D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<sst xmlns="http://schemas.openxmlformats.org/spreadsheetml/2006/main" count="125" uniqueCount="101">
  <si>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</si>
  <si>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</si>
  <si>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</si>
  <si>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</si>
  <si>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</si>
  <si>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</si>
  <si>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</si>
  <si>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</si>
  <si>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</si>
  <si>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</si>
  <si>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</si>
  <si>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</si>
  <si>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</si>
  <si>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</si>
  <si>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</si>
  <si>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</si>
  <si>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</si>
  <si>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</si>
  <si>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</si>
  <si>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</si>
  <si>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</si>
  <si>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</si>
  <si>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</si>
  <si>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</si>
  <si>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</si>
  <si>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</si>
  <si>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</si>
  <si>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</si>
  <si>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</si>
  <si>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</si>
  <si>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</si>
  <si>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</si>
  <si>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</si>
  <si>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</si>
  <si>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</si>
  <si>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</si>
  <si>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</si>
  <si>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</si>
  <si>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</si>
  <si>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</si>
  <si>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</si>
  <si>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</si>
  <si>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</si>
  <si>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</si>
  <si>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</si>
  <si>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</si>
  <si>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</si>
  <si>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</si>
  <si>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</si>
  <si>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 xml:space="preserve">Strategy Version &gt; </t>
  </si>
  <si>
    <t>Strategy Grade</t>
  </si>
  <si>
    <t>S001</t>
  </si>
  <si>
    <t>S002</t>
  </si>
  <si>
    <t>S003</t>
  </si>
  <si>
    <t>S004</t>
  </si>
  <si>
    <t>S005</t>
  </si>
  <si>
    <t xml:space="preserve">What You Should Do </t>
  </si>
  <si>
    <t>What You Should Do</t>
  </si>
  <si>
    <t>Budget Split Aligned with Funnel Strategy</t>
  </si>
  <si>
    <t>ROAS Target Achievable Given Funnel Mix</t>
  </si>
  <si>
    <t>BUDGET &amp; FUNNEL ALLOCATION</t>
  </si>
  <si>
    <t>Best-Selling ASINs Are Promoted</t>
  </si>
  <si>
    <t>NTB Purchase Rate Above 50%</t>
  </si>
  <si>
    <t>PRODUCT &amp; ASIN STRATEGY</t>
  </si>
  <si>
    <t>Verify that budget allocation across funnel stages matches the documented DSP strategy — especially whether scaling accounts have sufficient upper funnel investment.</t>
  </si>
  <si>
    <t>A scaling account that concentrates 90% of budget in retargeting will exhaust its audience pool and stop growing. A retention account that over-indexes on awareness wastes spend on new users it cannot convert.</t>
  </si>
  <si>
    <t>Pull 07_DSP_Spend_by_Strategy_&amp;_Funn and calculate spend share by FunnelStage. Compare the actual split against the documented strategy objective. Flag if the distribution contradicts the stated goal.</t>
  </si>
  <si>
    <t>Funnel spend distribution: Upper {upper_pct}%, Mid {mid_pct}%, Lower {lower_pct}%. Documented strategy objective: {strategy_objective}. Alignment result: {funnel_alignment_status}.</t>
  </si>
  <si>
    <t>Budget allocation is the most direct expression of strategy. An account that says it is scaling but spends 85% on retargeting is not executing its strategy — it is spending on the easiest audience while ignoring the growth imperative.</t>
  </si>
  <si>
    <t>Adjust budget splits to reflect the documented strategy. For scaling accounts, upper funnel should be at least 30–40% of total spend. For retention, lower funnel can be dominant. Document the intended split in the order notes.</t>
  </si>
  <si>
    <t>07_DSP_Spend_by_Strategy_&amp;_Funn · AdSpend by FunnelStage</t>
  </si>
  <si>
    <t>Verify that the mix of upper and lower funnel spend is compatible with the Target ROAS. Upper-heavy strategies require longer attribution windows and lower expected short-term ROAS.</t>
  </si>
  <si>
    <t>Setting a strict ROAS target on a strategy that is heavily upper funnel creates a false underperformance signal and leads to premature budget cuts on exactly the orders that should be running.</t>
  </si>
  <si>
    <t>Pull 07_DSP_Spend_by_Strategy_&amp;_Funn and 14_DSP_Project_on_SF. Cross-check ROAS by funnel stage against Target_ROAS__c. Flag if the overall target is incompatible with the current funnel mix.</t>
  </si>
  <si>
    <t>Target ROAS: {target_roas}. Current blended ROAS: {current_roas}. Upper funnel share: {upper_pct}%. Upper funnel ROAS: {upper_roas}. Lower funnel ROAS: {lower_roas}. Compatibility assessment: {roas_feasibility}.</t>
  </si>
  <si>
    <t>An upper funnel order that runs at ROAS 1.5x is not failing — it is building the audience pool that the lower funnel will convert next month. Evaluating it against a 4x target makes every upper funnel investment look like a loss.</t>
  </si>
  <si>
    <t>If the funnel is heavily upper-weighted, adjust the Target ROAS to a blended figure that reflects the full funnel lifecycle. Alternatively, report upper and lower ROAS separately so each layer is evaluated against an appropriate benchmark.</t>
  </si>
  <si>
    <t>07_DSP_Spend_by_Strategy_&amp;_Funn · ROAS by FunnelStage + 14_DSP_Project_on_SF · Target_ROAS__c</t>
  </si>
  <si>
    <t>Verify that the top ASINs by Amazon Search sales have at least one active DSP order promoting them.</t>
  </si>
  <si>
    <t>Promoting low-velocity products wastes DSP budget. Best sellers have the highest purchase probability, protect organic rank, and generate the most attributable revenue per impression.</t>
  </si>
  <si>
    <t>Pull 08_DSP_ASIN_Level_Report and cross-reference active ASINs with the account's best-selling products. Identify any top sellers that have no DSP promotion. Flag the gap.</t>
  </si>
  <si>
    <t>Top ASINs by sales with active DSP promotion: {promoted_top_asin_count} of {total_top_asins}. ASINs in top sellers not promoted: {unpromoted_top_asins}.</t>
  </si>
  <si>
    <t>Budget on low-velocity products produces low ROAS and does not protect the category rank that drives organic sales. Every dollar on a slow-selling ASIN is a dollar not defending the account's best revenue drivers.</t>
  </si>
  <si>
    <t>Add the unpromoted best sellers to at least one active lower funnel order. Start with the top 3 by sales volume. Confirm product page quality before activating — weak PDPs on promoted ASINs waste impressions.</t>
  </si>
  <si>
    <t>08_DSP_ASIN_Level_Report · ASIN + AdSpend cross vs best sellers</t>
  </si>
  <si>
    <t>Verify that new-to-brand purchase rate at the account level is at or above 50% for non-retargeting orders.</t>
  </si>
  <si>
    <t>Low NTB rate on upper funnel orders means the account is not acquiring new customers — it is repeatedly reaching the same existing buyers and calling it prospecting.</t>
  </si>
  <si>
    <t>Pull 02_DSP_Date_Range_KPIs and 07_DSP_Spend_by_Strategy_&amp;_Funn. Calculate NTB rate overall and by funnel stage. Flag if upper funnel NTB rate falls below 50%.</t>
  </si>
  <si>
    <t>Account NTB purchase rate: {ntb_rate}%. NTB purchases: {ntb_purchases}. Total purchases: {total_purchases}. Upper funnel NTB rate: {upper_ntb_rate}%. Benchmark: ≥50% for non-retargeting.</t>
  </si>
  <si>
    <t>Upper funnel DSP that does not bring in new customers is just expensive reach against an existing base. The entire value proposition of awareness spend is audience expansion — if NTB rate is low, that value is not being delivered.</t>
  </si>
  <si>
    <t>Review the audience definitions on upper funnel line items. Ensure prospecting audiences exclude existing customers and are not overlapping heavily with retargeting pools. Use AMC if available to run an overlap report.</t>
  </si>
  <si>
    <t>02_DSP_Date_Range_KPIs · NTBRate + 07_DSP_Spend_by_Strategy_&amp;_Funn · NTBPurchases</t>
  </si>
  <si>
    <t>DSP x PPC INTEGRATION</t>
  </si>
  <si>
    <t>DSP Budget Is Min 15% of PPC Spend</t>
  </si>
  <si>
    <t>Verify that monthly DSP spend is at least 15% of the client's Amazon PPC spend for the same period.</t>
  </si>
  <si>
    <t>Below 15% of PPC, DSP cannot meaningfully influence the full funnel. The retargeting pool stays thin, upper funnel reach is negligible, and incremental ROAS from DSP cannot be demonstrated.</t>
  </si>
  <si>
    <t>Pull 10_DSP_vs_PPC_Comparison and calculate DSP AdSpendUSD as a percentage of PPC AdSpendUSD. Flag if DSP is below 15% of PPC spend.</t>
  </si>
  <si>
    <t>DSP spend: {dsp_spend}. PPC spend: {ppc_spend}. DSP as % of PPC: {dsp_ppc_ratio}%. Benchmark: ≥15%. Status: {ratio_status}.</t>
  </si>
  <si>
    <t>At less than 15% of PPC spend, DSP is operating as a side experiment rather than a core channel. Audience pools are too small to generate meaningful incremental impact and the ROAS benchmarks become statistically unreliable.</t>
  </si>
  <si>
    <t>Present the 15% guideline to the client with the associated funnel coverage and incremental ROAS data. If the client cannot increase DSP budget, focus spend exclusively on the highest-intent retargeting audiences to maximize what the budget can achieve.</t>
  </si>
  <si>
    <t>10_DSP_vs_PPC_Comparison · AdSpendUSD (DSP) vs AdSpendUSD (PPC)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</si>
</sst>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4">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2">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5" fillId="2" borderId="9"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0" fillId="0" borderId="11"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2" xfId="0" applyBorder="1" applyAlignment="1">
      <alignment wrapText="1"/>
    </xf>
    <xf numFmtId="0" fontId="1" fillId="7" borderId="5" xfId="0" applyFont="1" applyFill="1" applyBorder="1" applyAlignment="1">
      <alignment horizontal="center" vertical="center"/>
    </xf>
    <xf numFmtId="0" fontId="0" fillId="7" borderId="6" xfId="0" applyFill="1" applyBorder="1"/>
    <xf numFmtId="0" fontId="3" fillId="5" borderId="0" xfId="0" applyFont="1" applyFill="1" applyAlignment="1">
      <alignment horizontal="left" vertical="top" wrapText="1"/>
    </xf>
    <xf numFmtId="0" fontId="0" fillId="0" borderId="0" xfId="0"/>
    <xf numFmtId="0" fontId="4" fillId="0" borderId="0" xfId="0" applyFont="1" applyAlignment="1">
      <alignment horizontal="left" vertical="top" wrapText="1"/>
    </xf>
    <xf numFmtId="0" fontId="9" fillId="5" borderId="8" xfId="0" applyFont="1" applyFill="1" applyBorder="1" applyAlignment="1">
      <alignment horizontal="center" vertical="top" wrapText="1"/>
    </xf>
    <xf numFmtId="0" fontId="0" fillId="0" borderId="7" xfId="0" applyBorder="1"/>
    <xf numFmtId="0" fontId="1" fillId="5" borderId="5" xfId="0" applyFont="1" applyFill="1" applyBorder="1" applyAlignment="1">
      <alignment horizontal="center" vertical="center"/>
    </xf>
    <xf numFmtId="0" fontId="0" fillId="0" borderId="6" xfId="0" applyBorder="1"/>
    <xf numFmtId="0" fontId="0" fillId="5" borderId="0" xfId="0" applyFill="1" applyBorder="1"/>
    <xf numFmtId="0" fontId="0" fillId="0" borderId="0" xfId="0" applyBorder="1"/>
    <xf numFmtId="22" fontId="0" fillId="5" borderId="0" xfId="0" applyNumberFormat="1" applyFill="1" applyBorder="1" applyAlignment="1">
      <alignment horizontal="left"/>
    </xf>
    <xf numFmtId="0" fontId="2" fillId="5" borderId="0" xfId="0" applyFont="1" applyFill="1" applyAlignment="1">
      <alignment horizontal="right"/>
    </xf>
    <xf numFmtId="0" fontId="0" fillId="0" borderId="0" xfId="0" applyAlignment="1">
      <alignment horizontal="right"/>
    </xf>
    <xf numFmtId="0" fontId="0" fillId="7" borderId="13" xfId="0" applyFill="1" applyBorder="1"/>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wrapText="1"/>
      <border>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numFmt numFmtId="0" formatCode="General"/>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92BA3-3509-44D0-83CF-E3049FFC2AE4}" name="Table1" displayName="Table1" ref="A1:O6" totalsRowShown="0" headerRowDxfId="28" dataDxfId="26" headerRowBorderDxfId="27" tableBorderDxfId="25" totalsRowBorderDxfId="24">
  <autoFilter ref="A1:O6" xr:uid="{A5592BA3-3509-44D0-83CF-E3049FFC2AE4}"/>
  <tableColumns count="15">
    <tableColumn id="1" xr3:uid="{D455A454-6453-46A0-B90E-58DE6BF50C12}" name="Block" dataDxfId="23"/>
    <tableColumn id="2" xr3:uid="{FB060614-4867-47E3-B06F-02DA2F4BFE28}" name="Control ID" dataDxfId="22"/>
    <tableColumn id="3" xr3:uid="{A48B3C20-220C-48E0-96A1-2B7999978827}" name="Control Name" dataDxfId="21"/>
    <tableColumn id="4" xr3:uid="{C0B315B8-F55C-4FB0-98C6-C5A06DE8CECC}" name="STATUS" dataDxfId="20"/>
    <tableColumn id="5" xr3:uid="{607689F7-D6D5-4332-A86A-A24606C9EEBE}" name="What" dataDxfId="19"/>
    <tableColumn id="6" xr3:uid="{6D2A4D22-6AF2-4B43-9BD4-E0EE7927A3A8}" name="Why" dataDxfId="18"/>
    <tableColumn id="7" xr3:uid="{D475F097-7552-4D7B-A7C4-4D9608B42B58}" name="How" dataDxfId="17"/>
    <tableColumn id="14" xr3:uid="{A70725CF-382C-4467-B963-64058E178C46}" name="What We Saw" dataDxfId="16"/>
    <tableColumn id="13" xr3:uid="{84E369DB-331C-4A15-A69B-36FB46AD272D}" name="Why It Matters" dataDxfId="15"/>
    <tableColumn id="15" xr3:uid="{1DA621F2-FD24-41B5-8E36-30D36AFDCE04}" name="What You Should Do" dataDxfId="9"/>
    <tableColumn id="8" xr3:uid="{0567C802-8BC7-4F6A-BC3E-865AFC290E4E}" name="Data Source" dataDxfId="14"/>
    <tableColumn id="9" xr3:uid="{4FE6B8A4-E24E-4320-B398-1C83845BF264}" name="Impact" dataDxfId="13">
      <calculatedColumnFormula>VLOOKUP(Table1[[#This Row],[Importance]],'Logic and Calculation'!$H$2:$J$12,3,FALSE)</calculatedColumnFormula>
    </tableColumn>
    <tableColumn id="10" xr3:uid="{6B6B9261-D61B-41B0-A484-4466A5EE01DE}" name="Importance" dataDxfId="12"/>
    <tableColumn id="11" xr3:uid="{FE36A65F-212F-41F7-A7BC-9EBB6CAED4C0}" name="Priority" dataDxfId="11">
      <calculatedColumnFormula>VLOOKUP(Table1[[#This Row],[Importance]],'Logic and Calculation'!$H$2:$J$12,2,FALSE)</calculatedColumnFormula>
    </tableColumn>
    <tableColumn id="12" xr3:uid="{1E8ACBC3-5391-47B8-91EE-422639FCB2F8}" name="Notes/Intent"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35"/>
  <sheetViews>
    <sheetView tabSelected="1" zoomScale="70" zoomScaleNormal="70" workbookViewId="0">
      <pane ySplit="8" topLeftCell="A9" activePane="bottomLeft" state="frozen"/>
      <selection pane="bottomLeft" activeCell="G12" sqref="G12"/>
    </sheetView>
  </sheetViews>
  <sheetFormatPr defaultRowHeight="14.4" x14ac:dyDescent="0.3"/>
  <cols>
    <col min="1" max="1" width="21.44140625" customWidth="1"/>
    <col min="2" max="2" width="27.5546875" customWidth="1"/>
    <col min="3" max="3" width="38.21875" customWidth="1"/>
    <col min="4" max="6" width="61.33203125" style="13"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8" ht="28.05" customHeight="1" thickBot="1" x14ac:dyDescent="0.35">
      <c r="A1" s="27" t="s">
        <v>40</v>
      </c>
      <c r="B1" s="28"/>
      <c r="C1" s="28"/>
      <c r="D1" s="28"/>
      <c r="E1" s="28"/>
      <c r="F1" s="28"/>
      <c r="G1" s="41"/>
    </row>
    <row r="2" spans="1:8" x14ac:dyDescent="0.3">
      <c r="A2" s="16" t="s">
        <v>49</v>
      </c>
      <c r="B2" s="36" t="s">
        <v>41</v>
      </c>
      <c r="C2" s="8"/>
      <c r="D2" s="29"/>
      <c r="E2" s="30"/>
      <c r="F2" s="30"/>
      <c r="G2" s="30"/>
    </row>
    <row r="3" spans="1:8" x14ac:dyDescent="0.3">
      <c r="A3" s="15" t="s">
        <v>34</v>
      </c>
      <c r="B3" s="37" t="s">
        <v>35</v>
      </c>
      <c r="D3" s="14"/>
      <c r="E3"/>
      <c r="F3"/>
    </row>
    <row r="4" spans="1:8" ht="14.4" customHeight="1" x14ac:dyDescent="0.3">
      <c r="A4" s="16" t="s">
        <v>33</v>
      </c>
      <c r="B4" s="36" t="s">
        <v>36</v>
      </c>
      <c r="C4" s="8"/>
      <c r="D4" s="29"/>
      <c r="E4" s="30"/>
      <c r="F4" s="30"/>
      <c r="G4" s="30"/>
    </row>
    <row r="5" spans="1:8" ht="14.4" customHeight="1" x14ac:dyDescent="0.3">
      <c r="A5" s="16" t="s">
        <v>37</v>
      </c>
      <c r="B5" s="38">
        <v>46083.684884259259</v>
      </c>
      <c r="C5" s="8"/>
      <c r="D5" s="14"/>
      <c r="E5"/>
      <c r="F5"/>
    </row>
    <row r="6" spans="1:8" ht="15" thickBot="1" x14ac:dyDescent="0.35">
      <c r="A6" s="8"/>
      <c r="B6" s="8"/>
      <c r="C6" s="8"/>
      <c r="D6" s="12"/>
      <c r="E6" s="12"/>
      <c r="F6" s="12"/>
      <c r="G6" s="8"/>
    </row>
    <row r="7" spans="1:8" ht="21" customHeight="1" thickBot="1" x14ac:dyDescent="0.35">
      <c r="A7" s="39" t="s">
        <v>50</v>
      </c>
      <c r="B7" s="40"/>
      <c r="C7" s="40"/>
      <c r="D7" s="34" t="str">
        <f>'Logic and Calculation'!B5</f>
        <v xml:space="preserve">Compliant </v>
      </c>
      <c r="E7" s="35"/>
      <c r="F7" s="35"/>
      <c r="G7" s="35"/>
    </row>
    <row r="8" spans="1:8" ht="18" customHeight="1" x14ac:dyDescent="0.3">
      <c r="A8" s="39" t="s">
        <v>0</v>
      </c>
      <c r="B8" s="40"/>
      <c r="C8" s="40"/>
      <c r="D8" s="32"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33"/>
      <c r="F8" s="33"/>
      <c r="G8" s="33"/>
    </row>
    <row r="9" spans="1:8" ht="18" customHeight="1" x14ac:dyDescent="0.3">
      <c r="A9" s="8"/>
      <c r="B9" s="8"/>
      <c r="C9" s="8"/>
      <c r="D9" s="12"/>
      <c r="E9" s="12"/>
      <c r="F9" s="12"/>
      <c r="G9" s="8"/>
    </row>
    <row r="10" spans="1:8" x14ac:dyDescent="0.3">
      <c r="A10" s="31" t="s">
        <v>1</v>
      </c>
      <c r="B10" s="30"/>
      <c r="C10" s="30"/>
      <c r="D10" s="30"/>
      <c r="E10" s="30"/>
      <c r="F10" s="30"/>
      <c r="G10" s="30"/>
    </row>
    <row r="11" spans="1:8" ht="19.95" customHeight="1" x14ac:dyDescent="0.3">
      <c r="A11" s="1" t="s">
        <v>2</v>
      </c>
      <c r="B11" s="1" t="s">
        <v>3</v>
      </c>
      <c r="C11" s="1" t="s">
        <v>4</v>
      </c>
      <c r="D11" s="1" t="s">
        <v>5</v>
      </c>
      <c r="E11" s="1" t="s">
        <v>6</v>
      </c>
      <c r="F11" s="1" t="s">
        <v>56</v>
      </c>
      <c r="G11" s="1" t="s">
        <v>7</v>
      </c>
      <c r="H11" s="6"/>
    </row>
    <row r="12" spans="1:8" ht="118.8" customHeight="1" x14ac:dyDescent="0.3">
      <c r="A12" s="10" t="str" cm="1">
        <f t="array" ref="A12">_xlfn.LET(
  _xlpm.id, 'Account Strategy_Reference'!B2:B22,
  _xlpm.name, 'Account Strategy_Reference'!C2:C22,
  _xlpm.st, 'Account Strategy_Reference'!D2:D22,
  _xlpm.saw, 'Account Strategy_Reference'!H2:H22,
  _xlpm.matter, 'Account Strategy_Reference'!I2:I22,
  _xlpm.wysd, 'Account Strategy_Reference'!J2:J22,
  _xlpm.impact, 'Account Strategy_Reference'!L2:L22,
  _xlpm.data, _xlfn.HSTACK(_xlpm.id, _xlpm.name, _xlpm.st, _xlpm.saw, _xlpm.matter, _xlpm.wysd, _xlpm.impact),
  IFERROR(_xlfn._xlws.FILTER(_xlpm.data, (_xlpm.st&lt;&gt;"OK")*(_xlpm.st&lt;&gt;"")), "No findings — all controls OK")
)</f>
        <v>No findings — all controls OK</v>
      </c>
      <c r="B12" s="10"/>
      <c r="C12" s="9"/>
      <c r="D12" s="10"/>
      <c r="E12" s="10"/>
      <c r="F12" s="10"/>
      <c r="G12" s="10"/>
    </row>
    <row r="13" spans="1:8" ht="44.4" customHeight="1" x14ac:dyDescent="0.3">
      <c r="A13" s="10"/>
      <c r="B13" s="10"/>
      <c r="C13" s="7"/>
      <c r="D13" s="10"/>
      <c r="E13" s="10"/>
      <c r="F13" s="10"/>
      <c r="G13" s="10"/>
    </row>
    <row r="14" spans="1:8" ht="44.4" customHeight="1" x14ac:dyDescent="0.3">
      <c r="A14" s="10"/>
      <c r="B14" s="10"/>
      <c r="C14" s="7"/>
      <c r="D14" s="10"/>
      <c r="E14" s="10"/>
      <c r="F14" s="10"/>
      <c r="G14" s="10"/>
    </row>
    <row r="15" spans="1:8" ht="44.4" customHeight="1" x14ac:dyDescent="0.3">
      <c r="A15" s="10"/>
      <c r="B15" s="10"/>
      <c r="C15" s="7"/>
      <c r="D15" s="10"/>
      <c r="E15" s="10"/>
      <c r="F15" s="10"/>
      <c r="G15" s="10"/>
    </row>
    <row r="16" spans="1:8" ht="44.4" customHeight="1" x14ac:dyDescent="0.3">
      <c r="A16" s="10"/>
      <c r="B16" s="10"/>
      <c r="C16" s="7"/>
      <c r="D16" s="10"/>
      <c r="E16" s="10"/>
      <c r="F16" s="10"/>
      <c r="G16" s="10"/>
    </row>
    <row r="17" spans="1:7" ht="44.4" customHeight="1" x14ac:dyDescent="0.3">
      <c r="A17" s="10"/>
      <c r="B17" s="10"/>
      <c r="C17" s="7"/>
      <c r="D17" s="10"/>
      <c r="E17" s="10"/>
      <c r="F17" s="10"/>
      <c r="G17" s="10"/>
    </row>
    <row r="18" spans="1:7" ht="44.4" customHeight="1" x14ac:dyDescent="0.3">
      <c r="A18" s="10"/>
      <c r="B18" s="10"/>
      <c r="C18" s="7"/>
      <c r="D18" s="10"/>
      <c r="E18" s="10"/>
      <c r="F18" s="10"/>
      <c r="G18" s="10"/>
    </row>
    <row r="19" spans="1:7" ht="44.4" customHeight="1" x14ac:dyDescent="0.3">
      <c r="A19" s="10"/>
      <c r="B19" s="10"/>
      <c r="C19" s="7"/>
      <c r="D19" s="10"/>
      <c r="E19" s="10"/>
      <c r="F19" s="10"/>
      <c r="G19" s="10"/>
    </row>
    <row r="20" spans="1:7" ht="44.4" customHeight="1" x14ac:dyDescent="0.3">
      <c r="A20" s="10"/>
      <c r="B20" s="10"/>
      <c r="C20" s="7"/>
      <c r="D20" s="10"/>
      <c r="E20" s="10"/>
      <c r="F20" s="10"/>
      <c r="G20" s="10"/>
    </row>
    <row r="21" spans="1:7" ht="44.4" customHeight="1" x14ac:dyDescent="0.3">
      <c r="A21" s="10"/>
      <c r="B21" s="10"/>
      <c r="C21" s="7"/>
      <c r="D21" s="10"/>
      <c r="E21" s="10"/>
      <c r="F21" s="10"/>
      <c r="G21" s="10"/>
    </row>
    <row r="22" spans="1:7" ht="44.4" customHeight="1" x14ac:dyDescent="0.3">
      <c r="A22" s="10"/>
      <c r="B22" s="10"/>
      <c r="C22" s="7"/>
      <c r="D22" s="10"/>
      <c r="E22" s="10"/>
      <c r="F22" s="10"/>
      <c r="G22" s="10"/>
    </row>
    <row r="23" spans="1:7" ht="44.4" customHeight="1" x14ac:dyDescent="0.3">
      <c r="A23" s="10"/>
      <c r="B23" s="10"/>
      <c r="C23" s="7"/>
      <c r="D23" s="10"/>
      <c r="E23" s="10"/>
      <c r="F23" s="10"/>
      <c r="G23" s="10"/>
    </row>
    <row r="24" spans="1:7" ht="44.4" customHeight="1" x14ac:dyDescent="0.3">
      <c r="A24" s="10"/>
      <c r="B24" s="10"/>
      <c r="C24" s="7"/>
      <c r="D24" s="10"/>
      <c r="E24" s="10"/>
      <c r="F24" s="10"/>
      <c r="G24" s="10"/>
    </row>
    <row r="25" spans="1:7" ht="44.4" customHeight="1" x14ac:dyDescent="0.3">
      <c r="A25" s="10"/>
      <c r="B25" s="10"/>
      <c r="C25" s="7"/>
      <c r="D25" s="10"/>
      <c r="E25" s="10"/>
      <c r="F25" s="10"/>
      <c r="G25" s="10"/>
    </row>
    <row r="26" spans="1:7" ht="44.4" customHeight="1" x14ac:dyDescent="0.3">
      <c r="A26" s="8"/>
      <c r="B26" s="8"/>
      <c r="C26" s="7"/>
      <c r="D26" s="12"/>
      <c r="E26" s="12"/>
      <c r="F26" s="12"/>
      <c r="G26" s="8"/>
    </row>
    <row r="27" spans="1:7" ht="44.4" customHeight="1" x14ac:dyDescent="0.3">
      <c r="A27" s="8"/>
      <c r="B27" s="8"/>
      <c r="C27" s="7"/>
      <c r="D27" s="12"/>
      <c r="E27" s="12"/>
      <c r="F27" s="12"/>
      <c r="G27" s="8"/>
    </row>
    <row r="28" spans="1:7" ht="44.4" customHeight="1" x14ac:dyDescent="0.3">
      <c r="A28" s="8"/>
      <c r="B28" s="8"/>
      <c r="C28" s="7"/>
      <c r="D28" s="12"/>
      <c r="E28" s="12"/>
      <c r="F28" s="12"/>
      <c r="G28" s="8"/>
    </row>
    <row r="29" spans="1:7" ht="44.4" customHeight="1" x14ac:dyDescent="0.3">
      <c r="A29" s="8"/>
      <c r="B29" s="8"/>
      <c r="C29" s="7"/>
      <c r="D29" s="12"/>
      <c r="E29" s="12"/>
      <c r="F29" s="12"/>
      <c r="G29" s="8"/>
    </row>
    <row r="30" spans="1:7" ht="44.4" customHeight="1" x14ac:dyDescent="0.3">
      <c r="A30" s="8"/>
      <c r="B30" s="8"/>
      <c r="C30" s="7"/>
      <c r="D30" s="12"/>
      <c r="E30" s="12"/>
      <c r="F30" s="12"/>
      <c r="G30" s="8"/>
    </row>
    <row r="31" spans="1:7" ht="44.4" customHeight="1" x14ac:dyDescent="0.3">
      <c r="C31" s="7"/>
    </row>
    <row r="32" spans="1:7" ht="44.4" customHeight="1" x14ac:dyDescent="0.3">
      <c r="C32" s="7"/>
    </row>
    <row r="33" spans="3:3" ht="44.4" customHeight="1" x14ac:dyDescent="0.3">
      <c r="C33" s="7"/>
    </row>
    <row r="34" spans="3:3" ht="44.4" customHeight="1" x14ac:dyDescent="0.3">
      <c r="C34" s="7"/>
    </row>
    <row r="35" spans="3:3" ht="44.4" customHeight="1" x14ac:dyDescent="0.3">
      <c r="C35" s="7"/>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6"/>
  <sheetViews>
    <sheetView zoomScale="70" zoomScaleNormal="70" workbookViewId="0">
      <pane ySplit="1" topLeftCell="A2" activePane="bottomLeft" state="frozen"/>
      <selection pane="bottomLeft" activeCell="E8" sqref="E8:E11"/>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19" t="s">
        <v>8</v>
      </c>
      <c r="B1" s="20" t="s">
        <v>2</v>
      </c>
      <c r="C1" s="20" t="s">
        <v>3</v>
      </c>
      <c r="D1" s="20" t="s">
        <v>9</v>
      </c>
      <c r="E1" s="21" t="s">
        <v>10</v>
      </c>
      <c r="F1" s="20" t="s">
        <v>11</v>
      </c>
      <c r="G1" s="20" t="s">
        <v>12</v>
      </c>
      <c r="H1" s="20" t="s">
        <v>5</v>
      </c>
      <c r="I1" s="20" t="s">
        <v>6</v>
      </c>
      <c r="J1" s="20" t="s">
        <v>57</v>
      </c>
      <c r="K1" s="20" t="s">
        <v>13</v>
      </c>
      <c r="L1" s="20" t="s">
        <v>7</v>
      </c>
      <c r="M1" s="20" t="s">
        <v>14</v>
      </c>
      <c r="N1" s="20" t="s">
        <v>15</v>
      </c>
      <c r="O1" s="22" t="s">
        <v>16</v>
      </c>
    </row>
    <row r="2" spans="1:15" ht="54.6" customHeight="1" x14ac:dyDescent="0.3">
      <c r="A2" s="23" t="s">
        <v>60</v>
      </c>
      <c r="B2" s="3" t="s">
        <v>51</v>
      </c>
      <c r="C2" s="24" t="s">
        <v>58</v>
      </c>
      <c r="D2" s="3" t="s">
        <v>17</v>
      </c>
      <c r="E2" s="24" t="s">
        <v>64</v>
      </c>
      <c r="F2" s="24" t="s">
        <v>65</v>
      </c>
      <c r="G2" s="24" t="s">
        <v>66</v>
      </c>
      <c r="H2" s="24" t="s">
        <v>67</v>
      </c>
      <c r="I2" s="24" t="s">
        <v>68</v>
      </c>
      <c r="J2" s="24" t="s">
        <v>69</v>
      </c>
      <c r="K2" s="24" t="s">
        <v>70</v>
      </c>
      <c r="L2" s="3" t="str">
        <f>VLOOKUP(Table1[[#This Row],[Importance]],'Logic and Calculation'!$H$2:$J$12,3,FALSE)</f>
        <v>Critical</v>
      </c>
      <c r="M2" s="25">
        <v>10</v>
      </c>
      <c r="N2" s="3">
        <f>VLOOKUP(Table1[[#This Row],[Importance]],'Logic and Calculation'!$H$2:$J$12,2,FALSE)</f>
        <v>-18</v>
      </c>
      <c r="O2" s="26"/>
    </row>
    <row r="3" spans="1:15" ht="54.6" customHeight="1" x14ac:dyDescent="0.3">
      <c r="A3" s="23" t="s">
        <v>60</v>
      </c>
      <c r="B3" s="3" t="s">
        <v>52</v>
      </c>
      <c r="C3" s="24" t="s">
        <v>59</v>
      </c>
      <c r="D3" s="3" t="s">
        <v>17</v>
      </c>
      <c r="E3" s="24" t="s">
        <v>71</v>
      </c>
      <c r="F3" s="24" t="s">
        <v>72</v>
      </c>
      <c r="G3" s="24" t="s">
        <v>73</v>
      </c>
      <c r="H3" s="24" t="s">
        <v>74</v>
      </c>
      <c r="I3" s="24" t="s">
        <v>75</v>
      </c>
      <c r="J3" s="24" t="s">
        <v>76</v>
      </c>
      <c r="K3" s="24" t="s">
        <v>77</v>
      </c>
      <c r="L3" s="3" t="str">
        <f>VLOOKUP(Table1[[#This Row],[Importance]],'Logic and Calculation'!$H$2:$J$12,3,FALSE)</f>
        <v>High</v>
      </c>
      <c r="M3" s="25">
        <v>8</v>
      </c>
      <c r="N3" s="3">
        <f>VLOOKUP(Table1[[#This Row],[Importance]],'Logic and Calculation'!$H$2:$J$12,2,FALSE)</f>
        <v>-13</v>
      </c>
      <c r="O3" s="26"/>
    </row>
    <row r="4" spans="1:15" ht="54.6" customHeight="1" x14ac:dyDescent="0.3">
      <c r="A4" s="23" t="s">
        <v>63</v>
      </c>
      <c r="B4" s="3" t="s">
        <v>53</v>
      </c>
      <c r="C4" s="24" t="s">
        <v>61</v>
      </c>
      <c r="D4" s="3" t="s">
        <v>17</v>
      </c>
      <c r="E4" s="24" t="s">
        <v>78</v>
      </c>
      <c r="F4" s="24" t="s">
        <v>79</v>
      </c>
      <c r="G4" s="24" t="s">
        <v>80</v>
      </c>
      <c r="H4" s="24" t="s">
        <v>81</v>
      </c>
      <c r="I4" s="24" t="s">
        <v>82</v>
      </c>
      <c r="J4" s="24" t="s">
        <v>83</v>
      </c>
      <c r="K4" s="24" t="s">
        <v>84</v>
      </c>
      <c r="L4" s="3" t="str">
        <f>VLOOKUP(Table1[[#This Row],[Importance]],'Logic and Calculation'!$H$2:$J$12,3,FALSE)</f>
        <v>High</v>
      </c>
      <c r="M4" s="25">
        <v>8</v>
      </c>
      <c r="N4" s="3">
        <f>VLOOKUP(Table1[[#This Row],[Importance]],'Logic and Calculation'!$H$2:$J$12,2,FALSE)</f>
        <v>-13</v>
      </c>
      <c r="O4" s="26"/>
    </row>
    <row r="5" spans="1:15" ht="54.6" customHeight="1" x14ac:dyDescent="0.3">
      <c r="A5" s="23" t="s">
        <v>63</v>
      </c>
      <c r="B5" s="3" t="s">
        <v>54</v>
      </c>
      <c r="C5" s="24" t="s">
        <v>62</v>
      </c>
      <c r="D5" s="3" t="s">
        <v>17</v>
      </c>
      <c r="E5" s="24" t="s">
        <v>85</v>
      </c>
      <c r="F5" s="24" t="s">
        <v>86</v>
      </c>
      <c r="G5" s="24" t="s">
        <v>87</v>
      </c>
      <c r="H5" s="24" t="s">
        <v>88</v>
      </c>
      <c r="I5" s="24" t="s">
        <v>89</v>
      </c>
      <c r="J5" s="24" t="s">
        <v>90</v>
      </c>
      <c r="K5" s="24" t="s">
        <v>91</v>
      </c>
      <c r="L5" s="3" t="str">
        <f>VLOOKUP(Table1[[#This Row],[Importance]],'Logic and Calculation'!$H$2:$J$12,3,FALSE)</f>
        <v>High</v>
      </c>
      <c r="M5" s="25">
        <v>9</v>
      </c>
      <c r="N5" s="3">
        <f>VLOOKUP(Table1[[#This Row],[Importance]],'Logic and Calculation'!$H$2:$J$12,2,FALSE)</f>
        <v>-15</v>
      </c>
      <c r="O5" s="26"/>
    </row>
    <row r="6" spans="1:15" ht="54.6" customHeight="1" x14ac:dyDescent="0.3">
      <c r="A6" s="23" t="s">
        <v>92</v>
      </c>
      <c r="B6" s="3" t="s">
        <v>55</v>
      </c>
      <c r="C6" s="24" t="s">
        <v>93</v>
      </c>
      <c r="D6" s="3" t="s">
        <v>17</v>
      </c>
      <c r="E6" s="24" t="s">
        <v>94</v>
      </c>
      <c r="F6" s="24" t="s">
        <v>95</v>
      </c>
      <c r="G6" s="24" t="s">
        <v>96</v>
      </c>
      <c r="H6" s="24" t="s">
        <v>97</v>
      </c>
      <c r="I6" s="24" t="s">
        <v>98</v>
      </c>
      <c r="J6" s="24" t="s">
        <v>99</v>
      </c>
      <c r="K6" s="24" t="s">
        <v>100</v>
      </c>
      <c r="L6" s="3" t="str">
        <f>VLOOKUP(Table1[[#This Row],[Importance]],'Logic and Calculation'!$H$2:$J$12,3,FALSE)</f>
        <v>High</v>
      </c>
      <c r="M6" s="25">
        <v>8</v>
      </c>
      <c r="N6" s="3">
        <f>VLOOKUP(Table1[[#This Row],[Importance]],'Logic and Calculation'!$H$2:$J$12,2,FALSE)</f>
        <v>-13</v>
      </c>
      <c r="O6" s="26"/>
    </row>
  </sheetData>
  <phoneticPr fontId="12" type="noConversion"/>
  <conditionalFormatting sqref="D2:D6">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D2:D6" xr:uid="{14F2E4EA-232A-4A9D-81DF-0ED8245404A6}">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2"/>
  <sheetViews>
    <sheetView workbookViewId="0">
      <pane ySplit="7" topLeftCell="A8" activePane="bottomLeft" state="frozen"/>
      <selection pane="bottomLeft" activeCell="C39" sqref="C39"/>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50</v>
      </c>
      <c r="M2" s="11" t="s">
        <v>24</v>
      </c>
    </row>
    <row r="3" spans="1:13" x14ac:dyDescent="0.3">
      <c r="A3" t="s">
        <v>25</v>
      </c>
      <c r="B3">
        <f>SUM(F8:F932)</f>
        <v>0</v>
      </c>
      <c r="D3" t="s">
        <v>45</v>
      </c>
      <c r="H3">
        <v>10</v>
      </c>
      <c r="I3">
        <v>-18</v>
      </c>
      <c r="J3" t="s">
        <v>26</v>
      </c>
      <c r="L3" t="s">
        <v>48</v>
      </c>
      <c r="M3" t="s">
        <v>42</v>
      </c>
    </row>
    <row r="4" spans="1:13" x14ac:dyDescent="0.3">
      <c r="A4" t="s">
        <v>27</v>
      </c>
      <c r="B4">
        <f>B2+B3</f>
        <v>100</v>
      </c>
      <c r="D4" t="s">
        <v>39</v>
      </c>
      <c r="H4">
        <v>9</v>
      </c>
      <c r="I4">
        <v>-15</v>
      </c>
      <c r="J4" t="s">
        <v>28</v>
      </c>
      <c r="L4" t="s">
        <v>38</v>
      </c>
      <c r="M4" t="s">
        <v>43</v>
      </c>
    </row>
    <row r="5" spans="1:13" x14ac:dyDescent="0.3">
      <c r="A5" t="s">
        <v>50</v>
      </c>
      <c r="B5" t="str">
        <f>IF(B4&gt;=75,"Compliant ",IF(AND(B4&lt;=74,B4&gt;=40),"Needs Attention","Not Compliant"))</f>
        <v xml:space="preserve">Compliant </v>
      </c>
      <c r="D5" t="s">
        <v>46</v>
      </c>
      <c r="H5">
        <v>8</v>
      </c>
      <c r="I5">
        <v>-13</v>
      </c>
      <c r="J5" t="s">
        <v>28</v>
      </c>
      <c r="L5" t="s">
        <v>44</v>
      </c>
      <c r="M5" t="s">
        <v>47</v>
      </c>
    </row>
    <row r="6" spans="1:13" x14ac:dyDescent="0.3">
      <c r="A6" t="s">
        <v>29</v>
      </c>
      <c r="B6" t="s">
        <v>30</v>
      </c>
      <c r="H6">
        <v>7</v>
      </c>
      <c r="I6">
        <v>-11</v>
      </c>
      <c r="J6" t="s">
        <v>18</v>
      </c>
    </row>
    <row r="7" spans="1:13" x14ac:dyDescent="0.3">
      <c r="H7">
        <v>6</v>
      </c>
      <c r="I7">
        <v>-9</v>
      </c>
      <c r="J7" t="s">
        <v>18</v>
      </c>
    </row>
    <row r="8" spans="1:13" x14ac:dyDescent="0.3">
      <c r="A8" t="str">
        <f>'Account Strategy_Reference'!B2</f>
        <v>S001</v>
      </c>
      <c r="B8" t="str">
        <f>'Account Strategy_Reference'!A2</f>
        <v>BUDGET &amp; FUNNEL ALLOCATION</v>
      </c>
      <c r="C8" t="str">
        <f>'Account Strategy_Reference'!C2</f>
        <v>Budget Split Aligned with Funnel Strategy</v>
      </c>
      <c r="D8" t="str">
        <f>'Account Strategy_Reference'!D2</f>
        <v>OK</v>
      </c>
      <c r="E8">
        <f>'Account Strategy_Reference'!N2</f>
        <v>-18</v>
      </c>
      <c r="F8">
        <f t="shared" ref="F8" si="0">IF(D8="FLAG",E8,IF(D8="PARTIAL",E8*0.5,0))</f>
        <v>0</v>
      </c>
      <c r="H8">
        <v>5</v>
      </c>
      <c r="I8">
        <v>-7</v>
      </c>
      <c r="J8" t="s">
        <v>18</v>
      </c>
    </row>
    <row r="9" spans="1:13" x14ac:dyDescent="0.3">
      <c r="A9" t="str">
        <f>'Account Strategy_Reference'!B3</f>
        <v>S002</v>
      </c>
      <c r="B9" t="str">
        <f>'Account Strategy_Reference'!A3</f>
        <v>BUDGET &amp; FUNNEL ALLOCATION</v>
      </c>
      <c r="C9" t="str">
        <f>'Account Strategy_Reference'!C3</f>
        <v>ROAS Target Achievable Given Funnel Mix</v>
      </c>
      <c r="D9" t="str">
        <f>'Account Strategy_Reference'!D3</f>
        <v>OK</v>
      </c>
      <c r="E9">
        <f>'Account Strategy_Reference'!N3</f>
        <v>-13</v>
      </c>
      <c r="F9">
        <f t="shared" ref="F9:F12" si="1">IF(D9="FLAG",E9,IF(D9="PARTIAL",E9*0.5,0))</f>
        <v>0</v>
      </c>
      <c r="H9">
        <v>4</v>
      </c>
      <c r="I9">
        <v>-5</v>
      </c>
      <c r="J9" t="s">
        <v>31</v>
      </c>
    </row>
    <row r="10" spans="1:13" x14ac:dyDescent="0.3">
      <c r="A10" t="str">
        <f>'Account Strategy_Reference'!B4</f>
        <v>S003</v>
      </c>
      <c r="B10" t="str">
        <f>'Account Strategy_Reference'!A4</f>
        <v>PRODUCT &amp; ASIN STRATEGY</v>
      </c>
      <c r="C10" t="str">
        <f>'Account Strategy_Reference'!C4</f>
        <v>Best-Selling ASINs Are Promoted</v>
      </c>
      <c r="D10" t="str">
        <f>'Account Strategy_Reference'!D4</f>
        <v>OK</v>
      </c>
      <c r="E10">
        <f>'Account Strategy_Reference'!N4</f>
        <v>-13</v>
      </c>
      <c r="F10">
        <f t="shared" si="1"/>
        <v>0</v>
      </c>
      <c r="H10">
        <v>3</v>
      </c>
      <c r="I10">
        <v>-3</v>
      </c>
      <c r="J10" t="s">
        <v>31</v>
      </c>
    </row>
    <row r="11" spans="1:13" x14ac:dyDescent="0.3">
      <c r="A11" t="str">
        <f>'Account Strategy_Reference'!B5</f>
        <v>S004</v>
      </c>
      <c r="B11" t="str">
        <f>'Account Strategy_Reference'!A5</f>
        <v>PRODUCT &amp; ASIN STRATEGY</v>
      </c>
      <c r="C11" t="str">
        <f>'Account Strategy_Reference'!C5</f>
        <v>NTB Purchase Rate Above 50%</v>
      </c>
      <c r="D11" t="str">
        <f>'Account Strategy_Reference'!D5</f>
        <v>OK</v>
      </c>
      <c r="E11">
        <f>'Account Strategy_Reference'!N5</f>
        <v>-15</v>
      </c>
      <c r="F11">
        <f t="shared" si="1"/>
        <v>0</v>
      </c>
      <c r="H11">
        <v>2</v>
      </c>
      <c r="I11">
        <v>-2</v>
      </c>
      <c r="J11" t="s">
        <v>32</v>
      </c>
    </row>
    <row r="12" spans="1:13" x14ac:dyDescent="0.3">
      <c r="A12" t="str">
        <f>'Account Strategy_Reference'!B6</f>
        <v>S005</v>
      </c>
      <c r="B12" t="str">
        <f>'Account Strategy_Reference'!A6</f>
        <v>DSP x PPC INTEGRATION</v>
      </c>
      <c r="C12" t="str">
        <f>'Account Strategy_Reference'!C6</f>
        <v>DSP Budget Is Min 15% of PPC Spend</v>
      </c>
      <c r="D12" t="str">
        <f>'Account Strategy_Reference'!D6</f>
        <v>OK</v>
      </c>
      <c r="E12">
        <f>'Account Strategy_Reference'!N6</f>
        <v>-13</v>
      </c>
      <c r="F12">
        <f t="shared" si="1"/>
        <v>0</v>
      </c>
      <c r="H12">
        <v>1</v>
      </c>
      <c r="I12">
        <v>0</v>
      </c>
      <c r="J12" t="s">
        <v>32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Strategy_Analysis</vt:lpstr>
      <vt:lpstr>Account Strategy_Reference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2026-04-24T13:12:14Z</dcterms:modified>
</cp:coreProperties>
</file>