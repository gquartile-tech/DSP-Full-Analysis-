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DSP FULL ANALYSIS/AGENT HEALTH SCORE/"/>
    </mc:Choice>
  </mc:AlternateContent>
  <xr:revisionPtr revIDLastSave="307" documentId="8_{3E3918C5-82FD-409A-9152-AF36AD84C91A}" xr6:coauthVersionLast="47" xr6:coauthVersionMax="47" xr10:uidLastSave="{EFC28B3D-33C4-48D0-B23F-239AD42DE814}"/>
  <bookViews>
    <workbookView xWindow="-57720" yWindow="0" windowWidth="29040" windowHeight="15720" xr2:uid="{00000000-000D-0000-FFFF-FFFF00000000}"/>
  </bookViews>
  <sheets>
    <sheet name="Account Health_Analysis" sheetId="1" r:id="rId1"/>
    <sheet name="Account Health_Reference" sheetId="2" r:id="rId2"/>
    <sheet name="Logic and Calculation" sheetId="3" r:id="rId3"/>
  </sheets>
  <definedNames>
    <definedName name="_xleta.N"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 name="_xlpm.wysd" hidden="1" xlm="1">#NAME?</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6" i="1" l="1" a="1"/>
  <c r="A16" i="1" s="1"/>
  <c r="L2" i="2"/>
  <c r="L3" i="2"/>
  <c r="L4" i="2"/>
  <c r="L5" i="2"/>
  <c r="L6" i="2"/>
  <c r="L7" i="2"/>
  <c r="L8" i="2"/>
  <c r="L9" i="2"/>
  <c r="L10" i="2"/>
  <c r="L11" i="2"/>
  <c r="L12" i="2"/>
  <c r="N8" i="2"/>
  <c r="E14" i="3" s="1"/>
  <c r="N9" i="2"/>
  <c r="E15" i="3" s="1"/>
  <c r="N10" i="2"/>
  <c r="E16" i="3" s="1"/>
  <c r="N11" i="2"/>
  <c r="E17" i="3" s="1"/>
  <c r="N12" i="2"/>
  <c r="E18" i="3" s="1"/>
  <c r="N7" i="2"/>
  <c r="E13" i="3" s="1"/>
  <c r="D18" i="3"/>
  <c r="C18" i="3"/>
  <c r="B18" i="3"/>
  <c r="A18" i="3"/>
  <c r="D17" i="3"/>
  <c r="F17" i="3" s="1"/>
  <c r="C17" i="3"/>
  <c r="B17" i="3"/>
  <c r="A17" i="3"/>
  <c r="D16" i="3"/>
  <c r="F16" i="3" s="1"/>
  <c r="C16" i="3"/>
  <c r="B16" i="3"/>
  <c r="A16" i="3"/>
  <c r="D15" i="3"/>
  <c r="F15" i="3" s="1"/>
  <c r="C15" i="3"/>
  <c r="B15" i="3"/>
  <c r="A15" i="3"/>
  <c r="D14" i="3"/>
  <c r="C14" i="3"/>
  <c r="B14" i="3"/>
  <c r="A14" i="3"/>
  <c r="D13" i="3"/>
  <c r="C13" i="3"/>
  <c r="B13" i="3"/>
  <c r="A13" i="3"/>
  <c r="D12" i="3"/>
  <c r="C12" i="3"/>
  <c r="B12" i="3"/>
  <c r="A12" i="3"/>
  <c r="D11" i="3"/>
  <c r="C11" i="3"/>
  <c r="B11" i="3"/>
  <c r="A11" i="3"/>
  <c r="D10" i="3"/>
  <c r="C10" i="3"/>
  <c r="B10" i="3"/>
  <c r="A10" i="3"/>
  <c r="D9" i="3"/>
  <c r="F9" i="3" s="1"/>
  <c r="C9" i="3"/>
  <c r="B9" i="3"/>
  <c r="A9" i="3"/>
  <c r="D8" i="3"/>
  <c r="F8" i="3" s="1"/>
  <c r="C8" i="3"/>
  <c r="B8" i="3"/>
  <c r="A8" i="3"/>
  <c r="N6" i="2"/>
  <c r="E12" i="3" s="1"/>
  <c r="N5" i="2"/>
  <c r="E11" i="3" s="1"/>
  <c r="N4" i="2"/>
  <c r="E10" i="3" s="1"/>
  <c r="N3" i="2"/>
  <c r="E9" i="3" s="1"/>
  <c r="N2" i="2"/>
  <c r="E8" i="3" s="1"/>
  <c r="F14" i="3" l="1"/>
  <c r="F13" i="3"/>
  <c r="F12" i="3"/>
  <c r="F10" i="3"/>
  <c r="F18" i="3"/>
  <c r="F11" i="3"/>
  <c r="B3" i="3" l="1"/>
  <c r="B4" i="3" s="1"/>
  <c r="B5" i="3" s="1"/>
  <c r="D7" i="1" s="1"/>
  <c r="D8" i="1" s="1" a="1"/>
  <c r="D8"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<sst xmlns="http://schemas.openxmlformats.org/spreadsheetml/2006/main" count="195" uniqueCount="158">
  <si>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</si>
  <si>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</si>
  <si>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</si>
  <si>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</si>
  <si>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</si>
  <si>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</si>
  <si>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</si>
  <si>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</si>
  <si>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</si>
  <si>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</si>
  <si>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</si>
  <si>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</si>
  <si>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</si>
  <si>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</si>
  <si>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</si>
  <si>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</si>
  <si>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</si>
  <si>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OK</t>
  </si>
  <si>
    <t>Medium</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</si>
  <si>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</si>
  <si>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</si>
  <si>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</si>
  <si>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</si>
  <si>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</si>
  <si>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</si>
  <si>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</si>
  <si>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</si>
  <si>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</si>
  <si>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</si>
  <si>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</si>
  <si>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</si>
  <si>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</si>
  <si>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</si>
  <si>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</si>
  <si>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</si>
  <si>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</si>
  <si>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</si>
  <si>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</si>
  <si>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 xml:space="preserve">Account Health Version &gt; </t>
  </si>
  <si>
    <t>53588A - US - ZooPro — Account Health Analysis</t>
  </si>
  <si>
    <t>The account demonstrates stable growth, controlled efficiency, and manageable risk exposure. Current trajectory supports continued scaling.</t>
  </si>
  <si>
    <t>Performance gaps or efficiency pressures are emerging that may constrain scalability. Focused corrective action is recommended.</t>
  </si>
  <si>
    <t>Structural performance deterioration or elevated risk indicators threaten business stability. Immediate intervention is required to restore trajectory.</t>
  </si>
  <si>
    <t>At Risk</t>
  </si>
  <si>
    <t>Needs Attention</t>
  </si>
  <si>
    <t>Healthy</t>
  </si>
  <si>
    <t>75–100 = Healthy</t>
  </si>
  <si>
    <t>40–&lt;75 = Needs Attention</t>
  </si>
  <si>
    <t>&lt;40 = At Risk</t>
  </si>
  <si>
    <t>Account Health Grade</t>
  </si>
  <si>
    <t>ACoS Constrains &gt;</t>
  </si>
  <si>
    <t>TACoS Constrains &gt;</t>
  </si>
  <si>
    <t>Budget Constrains &gt;</t>
  </si>
  <si>
    <t>PRIMARY KPI</t>
  </si>
  <si>
    <t>Account Health  Grade</t>
  </si>
  <si>
    <t>H001</t>
  </si>
  <si>
    <t>H002</t>
  </si>
  <si>
    <t>H003</t>
  </si>
  <si>
    <t>H004</t>
  </si>
  <si>
    <t>H005</t>
  </si>
  <si>
    <t>H006</t>
  </si>
  <si>
    <t>H007</t>
  </si>
  <si>
    <t>H008</t>
  </si>
  <si>
    <t>H014</t>
  </si>
  <si>
    <t>H016</t>
  </si>
  <si>
    <t>H017</t>
  </si>
  <si>
    <t>Total ROAS vs Target</t>
  </si>
  <si>
    <t>Ad Spend Pacing vs Budget Target</t>
  </si>
  <si>
    <t>YoY Ad Sales Growth</t>
  </si>
  <si>
    <t>YoY Ad Spend Growth</t>
  </si>
  <si>
    <t>CTR Trend (MoM)</t>
  </si>
  <si>
    <t>CVR Trend (MoM)</t>
  </si>
  <si>
    <t>CPM Trend (MoM)</t>
  </si>
  <si>
    <t>DPVR Stable or Improving</t>
  </si>
  <si>
    <t>KPI PERFORMANCE</t>
  </si>
  <si>
    <t>What You Should Do</t>
  </si>
  <si>
    <t>Compare the current period Total ROAS against the Target ROAS documented in Salesforce.</t>
  </si>
  <si>
    <t>Total ROAS is the primary KPI for DSP. Any gap above 10% against target is a signal that strategy, execution, or product health needs attention.</t>
  </si>
  <si>
    <t>Pull 02_DSP_Date_Range_KPIs for current ROAS and 14_DSP_Project_on_SF for Target_ROAS__c. Calculate the percentage gap. Flag if actual ROAS is more than 10% below target.</t>
  </si>
  <si>
    <t>Target ROAS: {target_roas}. Current ROAS: {current_roas}. Gap: {roas_gap}%. Status: {roas_status}.</t>
  </si>
  <si>
    <t>ROAS below target is the most direct signal that DSP spend is not generating the expected return. When the gap persists beyond one review period without explanation, the strategy needs to change.</t>
  </si>
  <si>
    <t>Identify whether the ROAS gap is driven by spend increase (scaling), audience quality, or product issues. Present root cause and action plan to the client before the next billing cycle.</t>
  </si>
  <si>
    <t>02_DSP_Date_Range_KPIs · ROAS + 14_DSP_Project_on_SF · Target_ROAS__c</t>
  </si>
  <si>
    <t>Verify that L30 actual spend is within ±10% of the agreed daily spend target multiplied by 30.</t>
  </si>
  <si>
    <t>Underpacing means the client is not receiving the coverage they are paying for. Overpacing creates billing risk and accelerates audience fatigue before the month ends.</t>
  </si>
  <si>
    <t>Pull 02_DSP_Date_Range_KPIs for AdSpend and 14_DSP_Project_on_SF for daily_target_spend__c. Calculate expected monthly spend as daily_target × 30. Compare against actual. Flag if deviation exceeds ±10%.</t>
  </si>
  <si>
    <t>Monthly spend target: {monthly_target}. Actual L30 spend: {actual_l30_spend}. Deviation: {pacing_deviation}%. Status: {pacing_status}.</t>
  </si>
  <si>
    <t>A ±10% pacing gap is acceptable variation. Beyond that, either the account is leaving committed budget unspent or it is overrunning — both of which need to be managed proactively, not discovered at month end.</t>
  </si>
  <si>
    <t>If underpacing: check for zero-spend orders, audience exhaustion, or bid floors that are too low. If overpacing: implement budget caps at the order level immediately. Document the correction in Salesforce.</t>
  </si>
  <si>
    <t>02_DSP_Date_Range_KPIs · AdSpend + 14_DSP_Project_on_SF · daily_target_spend__c</t>
  </si>
  <si>
    <t>Verify that DSP-attributed sales for the current period are growing versus the same period last year.</t>
  </si>
  <si>
    <t>Flat or declining YoY DSP sales signals audience saturation, product weakness, or strategy stagnation — not a temporary fluctuation.</t>
  </si>
  <si>
    <t>Pull 04_DSP_Monthly_YoY_Comparison and check YoY_AdSales for the latest available month. Flag if YoY growth is negative.</t>
  </si>
  <si>
    <t>YoY Ad Sales growth: {yoy_sales_growth}%. Prior year Ad Sales: {prior_year_sales}. Current year Ad Sales: {current_year_sales}. Status: {yoy_sales_status}.</t>
  </si>
  <si>
    <t>DSP is a channel that compounds over time as audiences build. Flat YoY sales on DSP means the channel is not compounding — it is treading water at best, declining at worst.</t>
  </si>
  <si>
    <t>Diagnose the source of flat/declining YoY sales: is it audience pool exhaustion, product issues, increased competition, or reduced budget? Present the root cause to the client with a recovery plan.</t>
  </si>
  <si>
    <t>04_DSP_Monthly_YoY_Comparison · YoY_AdSales (latest month)</t>
  </si>
  <si>
    <t>Verify that DSP ad spend is growing versus the same period last year, consistent with a scaling or maintaining strategy.</t>
  </si>
  <si>
    <t>Declining spend on a scaling account means the strategy is not being funded. Declining spend with stable ROAS is acceptable in an efficiency phase, but needs to be documented.</t>
  </si>
  <si>
    <t>Pull 04_DSP_Monthly_YoY_Comparison and check YoY_AdSpend for the latest month. Cross-reference with the documented strategy objective. Flag if spend is declining without a documented efficiency rationale.</t>
  </si>
  <si>
    <t>YoY Ad Spend growth: {yoy_spend_growth}%. Prior year spend: {prior_year_spend}. Current year spend: {current_year_spend}. Strategy objective: {strategy_objective}. Status: {yoy_spend_status}.</t>
  </si>
  <si>
    <t>Spend decline on a scaling account is a strategy failure. Spend decline on an efficiency account may be intentional — but only if it is documented and ROAS is improving.</t>
  </si>
  <si>
    <t>If spend is declining unintentionally, identify the pacing or budget root cause and correct it. If declining intentionally, update the strategy objective in Salesforce to reflect the efficiency phase.</t>
  </si>
  <si>
    <t>04_DSP_Monthly_YoY_Comparison · YoY_AdSpend (latest month)</t>
  </si>
  <si>
    <t>Verify that CTR is stable or improving month over month over the last 3 months.</t>
  </si>
  <si>
    <t>A declining CTR trend signals creative fatigue or audience overlap. If CTR drops while CPM rises, the cost per click deteriorates rapidly.</t>
  </si>
  <si>
    <t>Pull 03_DSP_L24M_Monthly_Performance and calculate CTR for the last 3 months. Identify the direction of change. Flag if CTR declined consecutively in 2 of the last 3 months.</t>
  </si>
  <si>
    <t>CTR trend (last 3 months): {ctr_m3} → {ctr_m2} → {ctr_m1}. Direction: {ctr_trend_direction}. Status: {ctr_trend_status}.</t>
  </si>
  <si>
    <t>CTR is the signal that tells you whether the creative is still resonating with the audience. A sustained decline means you are paying the same or more to reach people who are increasingly indifferent to the ad.</t>
  </si>
  <si>
    <t>Refresh creatives on all line items showing consecutive CTR decline. Test at least 2 new creative variants. If CTR is fine but DPVR is low, the audience, not the creative, is the problem.</t>
  </si>
  <si>
    <t>03_DSP_L24M_Monthly_Performance · CTR (last 3 months)</t>
  </si>
  <si>
    <t>Verify that conversion rate is stable or improving month over month over the last 3 months.</t>
  </si>
  <si>
    <t>Declining CVR on retargeting campaigns signals that the remarketing audience quality is degrading or the product page has a problem that DSP cannot fix.</t>
  </si>
  <si>
    <t>Pull 03_DSP_L24M_Monthly_Performance and calculate CR for the last 3 months. Flag if conversion rate declined consecutively in 2 of the last 3 months on lower funnel orders.</t>
  </si>
  <si>
    <t>CVR trend (last 3 months): {cvr_m3} → {cvr_m2} → {cvr_m1}. Direction: {cvr_trend_direction}. Status: {cvr_trend_status}.</t>
  </si>
  <si>
    <t>CVR decline on retargeting means the people being targeted are less and less likely to buy. This happens when the retargeting pool is exhausted, pricing becomes uncompetitive, or the product page degrades.</t>
  </si>
  <si>
    <t>Diagnose CVR decline: check if the retargeting audience is refreshing with new visitors, if the PDP price is still competitive, and if the product has lost reviews. Address the root cause before increasing budget on the affected orders.</t>
  </si>
  <si>
    <t>03_DSP_L24M_Monthly_Performance · CR (last 3 months)</t>
  </si>
  <si>
    <t>Verify that CPM is stable or declining month over month over the last 3 months.</t>
  </si>
  <si>
    <t>Rising CPM without a corresponding ROAS improvement means the account is paying progressively more per impression for the same or worse outcome.</t>
  </si>
  <si>
    <t>Pull 03_DSP_L24M_Monthly_Performance and calculate CPM for the last 3 months. Flag if CPM increased consecutively in 2 of the last 3 months without a corresponding ROAS improvement.</t>
  </si>
  <si>
    <t>CPM trend (last 3 months): {cpm_m3} → {cpm_m2} → {cpm_m1}. Direction: {cpm_trend_direction}. ROAS trend during same period: {roas_trend_summary}. Status: {cpm_trend_status}.</t>
  </si>
  <si>
    <t>CPM increase is not always a problem — if ROAS increases proportionally, higher CPM means better inventory. But CPM rising while ROAS falls means the account is competing for expensive inventory that is not converting.</t>
  </si>
  <si>
    <t>If CPM is rising and ROAS is not improving, review inventory source settings and audience overlap. Test lower CPM inventory to see if conversion rate holds. If auction competition is the driver, consider reducing bid floors temporarily.</t>
  </si>
  <si>
    <t>03_DSP_L24M_Monthly_Performance · CPM (last 3 months)</t>
  </si>
  <si>
    <t>Verify that detail page view rate (DPVR) is stable or improving versus the prior 30-day period.</t>
  </si>
  <si>
    <t>Declining DPVR means the audience is seeing the ad but not engaging with the product page — a creative or product relevance problem that accumulates cost without results.</t>
  </si>
  <si>
    <t>Pull 02_DSP_Date_Range_KPIs and calculate DPV / Impressions for the current and prior period from 03_DSP_L24M_Monthly_Performance. Flag if DPVR declined more than 15% versus prior period.</t>
  </si>
  <si>
    <t>Current DPVR: {current_dpvr}%. Prior period DPVR: {prior_dpvr}%. Change: {dpvr_change}%. Status: {dpvr_status}.</t>
  </si>
  <si>
    <t>DPVR below benchmark on conversion-focused orders means the audience is not compelled enough by the creative to visit the product page. You are generating impressions but not intent — a precursor to ROAS decline.</t>
  </si>
  <si>
    <t>If DPVR is declining, refresh the creative first. If a new creative does not recover DPVR, the audience may be oversaturated — reduce frequency cap and test a narrower audience segment.</t>
  </si>
  <si>
    <t>02_DSP_Date_Range_KPIs · DPV / Impressions + 03_DSP_L24M_Monthly_Performance</t>
  </si>
  <si>
    <t>CLIENT &amp; FINANCIAL HEALTH</t>
  </si>
  <si>
    <t>GGS Commitment On Track</t>
  </si>
  <si>
    <t>Financial Status Clear (No Overdue Payments)</t>
  </si>
  <si>
    <t>Churn Score Reviewed</t>
  </si>
  <si>
    <t>Verify that current DSP spend trajectory is on pace to meet the GGS (Amazon media commitment) agreed with Amazon.</t>
  </si>
  <si>
    <t>Missing the GGS commitment triggers penalties that increase the effective cost of DSP inventory for all Quartile accounts — not just the one that missed.</t>
  </si>
  <si>
    <t>Review the GGS target for the current period and compare against cumulative DSP spend to date. Calculate whether the current run rate will meet the commitment by the deadline. Flag if on pace to miss by more than 5%.</t>
  </si>
  <si>
    <t>GGS target: {ggs_target}. Spend to date: {ggs_spend_to_date}. Days remaining: {ggs_days_remaining}. Required daily run rate to hit target: {ggs_required_daily}. Current daily run rate: {ggs_actual_daily}. Status: {ggs_status}.</t>
  </si>
  <si>
    <t>The GGS commitment is a contractual obligation with Amazon. Missing it has cost implications that extend beyond the individual account. Every account that underdelivers against its GGS contribution weakens Quartile's inventory pricing.</t>
  </si>
  <si>
    <t>If at risk of missing GGS: identify which accounts have headroom to scale spend and work with the strategist to increase budget or bid floors. Escalate to the DSP lead immediately if the gap is above 10%.</t>
  </si>
  <si>
    <t>Planilha CoE v2 — Account Health: GGS Target</t>
  </si>
  <si>
    <t>Verify that the client has no overdue DSP invoices or fee payments based on the latest billing record.</t>
  </si>
  <si>
    <t>An account with overdue payments is at risk of being paused. DSP campaigns cannot run without billing current, and a pause mid-flight damages campaign continuity and ROAS.</t>
  </si>
  <si>
    <t>Check the latest billing status from Stripe or the billing system. Flag if any DSP invoice is more than 15 days overdue or if a payment has been disputed.</t>
  </si>
  <si>
    <t>Billing status: {billing_status}. Most recent invoice: {last_invoice_date}. Overdue invoices: {overdue_invoice_count}. Total overdue amount: {overdue_amount}.</t>
  </si>
  <si>
    <t>Financial risk is the most avoidable cause of campaign interruption. A pause triggered by a missed payment is not a strategy decision — it is a process failure that can be caught weeks in advance.</t>
  </si>
  <si>
    <t>Contact the billing team immediately if any invoice is overdue. Set an escalation trigger at 10 days overdue — before the account reaches pause threshold. Document the financial status in Salesforce.</t>
  </si>
  <si>
    <t>Planilha CoE v2 — Account Health: Financial (Stripe)</t>
  </si>
  <si>
    <t>Verify that the latest ChurnZero health score has been reviewed and is above the risk threshold.</t>
  </si>
  <si>
    <t>A declining ChurnZero score is the earliest observable client health signal. Ignoring it means churn risk escalates to a point where it cannot be addressed before the client makes a decision.</t>
  </si>
  <si>
    <t>Pull 13_Client_Success_Insights and check CSM_Churn_Risk__c and Account_Risk_Score__c. Confirm the score has been reviewed in the last 30 days. Flag if the score is below the risk threshold or has dropped more than 10 points versus prior review.</t>
  </si>
  <si>
    <t>Current ChurnZero score: {churn_score}. Prior score: {prior_churn_score}. Score change: {churn_score_delta}. Last reviewed: {churn_last_reviewed}. Status: {churn_status}.</t>
  </si>
  <si>
    <t>ChurnZero aggregates signals across product usage, engagement, and financial health. A score below threshold means multiple health indicators are moving in the wrong direction simultaneously — that is not a coincidence.</t>
  </si>
  <si>
    <t>Review all ChurnZero score components to identify the primary driver of decline. Address the top driver immediately. Set a 2-week follow-up review to confirm the score is stabilizing.</t>
  </si>
  <si>
    <t>13_Client_Success_Insights · CSM_Churn_Risk__c / Account_Risk_Score__c</t>
  </si>
  <si>
    <t>DSP v1.0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</si>
</sst>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b/>
      <sz val="12"/>
      <color theme="1"/>
      <name val="Calibri"/>
      <family val="2"/>
      <scheme val="minor"/>
    </font>
    <font>
      <sz val="11"/>
      <color rgb="FF000000"/>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19">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rgb="FFD0D0D0"/>
      </left>
      <right/>
      <top style="thin">
        <color rgb="FFD0D0D0"/>
      </top>
      <bottom/>
      <diagonal/>
    </border>
    <border>
      <left style="thin">
        <color indexed="64"/>
      </left>
      <right style="thin">
        <color indexed="64"/>
      </right>
      <top/>
      <bottom style="thin">
        <color indexed="64"/>
      </bottom>
      <diagonal/>
    </border>
    <border>
      <left style="thin">
        <color rgb="FFD0D0D0"/>
      </left>
      <right style="thin">
        <color rgb="FFD0D0D0"/>
      </right>
      <top style="medium">
        <color indexed="64"/>
      </top>
      <bottom style="medium">
        <color indexed="64"/>
      </bottom>
      <diagonal/>
    </border>
    <border>
      <left style="thin">
        <color rgb="FFD0D0D0"/>
      </left>
      <right/>
      <top style="medium">
        <color indexed="64"/>
      </top>
      <bottom/>
      <diagonal/>
    </border>
    <border>
      <left/>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rgb="FFD0D0D0"/>
      </right>
      <top style="medium">
        <color indexed="64"/>
      </top>
      <bottom/>
      <diagonal/>
    </border>
    <border>
      <left style="thin">
        <color rgb="FFD0D0D0"/>
      </left>
      <right style="thin">
        <color rgb="FFD0D0D0"/>
      </right>
      <top style="medium">
        <color indexed="64"/>
      </top>
      <bottom/>
      <diagonal/>
    </border>
    <border>
      <left style="thin">
        <color rgb="FFD0D0D0"/>
      </left>
      <right style="thin">
        <color rgb="FFD0D0D0"/>
      </right>
      <top style="thin">
        <color rgb="FFD0D0D0"/>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rgb="FFD0D0D0"/>
      </left>
      <right style="thin">
        <color rgb="FFD0D0D0"/>
      </right>
      <top/>
      <bottom/>
      <diagonal/>
    </border>
  </borders>
  <cellStyleXfs count="1">
    <xf numFmtId="0" fontId="0" fillId="0" borderId="0"/>
  </cellStyleXfs>
  <cellXfs count="56">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left" vertical="top" wrapText="1"/>
    </xf>
    <xf numFmtId="0" fontId="6" fillId="0" borderId="2" xfId="0" applyFont="1" applyBorder="1" applyAlignment="1">
      <alignment horizontal="center" vertical="center" wrapText="1"/>
    </xf>
    <xf numFmtId="0" fontId="5" fillId="2" borderId="3" xfId="0" applyFont="1" applyFill="1" applyBorder="1" applyAlignment="1">
      <alignment horizontal="center" vertical="center" wrapText="1"/>
    </xf>
    <xf numFmtId="0" fontId="6" fillId="0" borderId="4" xfId="0" applyFont="1" applyBorder="1" applyAlignment="1">
      <alignment horizontal="center" vertical="center" wrapText="1"/>
    </xf>
    <xf numFmtId="0" fontId="6" fillId="0" borderId="4" xfId="0" applyFont="1" applyBorder="1" applyAlignment="1">
      <alignment horizontal="left" vertical="top" wrapText="1"/>
    </xf>
    <xf numFmtId="0" fontId="5" fillId="2" borderId="5" xfId="0" applyFont="1" applyFill="1" applyBorder="1" applyAlignment="1">
      <alignment horizontal="center" vertical="center" wrapText="1"/>
    </xf>
    <xf numFmtId="0" fontId="8" fillId="4" borderId="0" xfId="0" applyFont="1" applyFill="1"/>
    <xf numFmtId="0" fontId="5" fillId="2" borderId="6" xfId="0" applyFont="1" applyFill="1" applyBorder="1" applyAlignment="1">
      <alignment horizontal="center" vertical="center"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0" fillId="0" borderId="0" xfId="0" applyAlignment="1">
      <alignment horizontal="center" vertical="center"/>
    </xf>
    <xf numFmtId="0" fontId="6" fillId="6" borderId="0" xfId="0" applyFont="1" applyFill="1" applyAlignment="1">
      <alignment horizontal="center" vertical="center" wrapText="1"/>
    </xf>
    <xf numFmtId="0" fontId="0" fillId="5" borderId="0" xfId="0" applyFill="1"/>
    <xf numFmtId="0" fontId="6" fillId="6" borderId="9"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6" fillId="0" borderId="2" xfId="0" applyFont="1" applyBorder="1" applyAlignment="1">
      <alignment vertical="top" wrapText="1"/>
    </xf>
    <xf numFmtId="0" fontId="11" fillId="0" borderId="0" xfId="0" applyFont="1" applyAlignment="1">
      <alignment vertical="top" wrapText="1"/>
    </xf>
    <xf numFmtId="0" fontId="5" fillId="2" borderId="12" xfId="0" applyFont="1" applyFill="1" applyBorder="1" applyAlignment="1">
      <alignment horizontal="center" vertical="center" wrapText="1"/>
    </xf>
    <xf numFmtId="0" fontId="5" fillId="2" borderId="13" xfId="0" applyFont="1" applyFill="1" applyBorder="1" applyAlignment="1">
      <alignment horizontal="center" vertical="center" wrapText="1"/>
    </xf>
    <xf numFmtId="0" fontId="5" fillId="2" borderId="14" xfId="0" applyFont="1" applyFill="1" applyBorder="1" applyAlignment="1">
      <alignment horizontal="center" vertical="center" wrapText="1"/>
    </xf>
    <xf numFmtId="0" fontId="11" fillId="0" borderId="2" xfId="0" applyFont="1" applyBorder="1" applyAlignment="1">
      <alignment vertical="top" wrapText="1"/>
    </xf>
    <xf numFmtId="0" fontId="0" fillId="0" borderId="15" xfId="0" applyBorder="1"/>
    <xf numFmtId="0" fontId="0" fillId="5" borderId="15" xfId="0" applyFill="1" applyBorder="1"/>
    <xf numFmtId="22" fontId="0" fillId="5" borderId="15" xfId="0" applyNumberFormat="1" applyFill="1" applyBorder="1" applyAlignment="1">
      <alignment horizontal="left"/>
    </xf>
    <xf numFmtId="0" fontId="0" fillId="5" borderId="15" xfId="0" applyFill="1" applyBorder="1" applyAlignment="1">
      <alignment wrapText="1"/>
    </xf>
    <xf numFmtId="0" fontId="12" fillId="0" borderId="15" xfId="0" applyFont="1" applyBorder="1"/>
    <xf numFmtId="0" fontId="10" fillId="2" borderId="13" xfId="0" applyFont="1" applyFill="1" applyBorder="1" applyAlignment="1">
      <alignment horizontal="center" vertical="center" wrapText="1"/>
    </xf>
    <xf numFmtId="0" fontId="13" fillId="0" borderId="0" xfId="0" applyFont="1"/>
    <xf numFmtId="0" fontId="2" fillId="5" borderId="0" xfId="0" applyFont="1" applyFill="1"/>
    <xf numFmtId="0" fontId="9" fillId="5" borderId="0" xfId="0" applyFont="1" applyFill="1" applyAlignment="1">
      <alignment horizontal="center" vertical="top" wrapText="1"/>
    </xf>
    <xf numFmtId="0" fontId="1" fillId="7" borderId="10" xfId="0" applyFont="1" applyFill="1" applyBorder="1" applyAlignment="1">
      <alignment horizontal="center" vertical="center"/>
    </xf>
    <xf numFmtId="0" fontId="0" fillId="7" borderId="16" xfId="0" applyFill="1" applyBorder="1"/>
    <xf numFmtId="0" fontId="0" fillId="7" borderId="11"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17" xfId="0" applyFont="1" applyFill="1" applyBorder="1" applyAlignment="1">
      <alignment horizontal="center" vertical="top" wrapText="1"/>
    </xf>
    <xf numFmtId="0" fontId="0" fillId="0" borderId="16" xfId="0" applyBorder="1"/>
    <xf numFmtId="0" fontId="1" fillId="5" borderId="10" xfId="0" applyFont="1" applyFill="1" applyBorder="1" applyAlignment="1">
      <alignment horizontal="center" vertical="center"/>
    </xf>
    <xf numFmtId="0" fontId="0" fillId="0" borderId="11" xfId="0" applyBorder="1"/>
    <xf numFmtId="0" fontId="0" fillId="0" borderId="0" xfId="0" applyAlignment="1">
      <alignment horizontal="center"/>
    </xf>
    <xf numFmtId="0" fontId="5" fillId="2" borderId="18" xfId="0" applyFont="1" applyFill="1" applyBorder="1" applyAlignment="1">
      <alignment horizontal="center" vertical="center" wrapText="1"/>
    </xf>
    <xf numFmtId="0" fontId="0" fillId="5" borderId="0" xfId="0" applyFill="1" applyBorder="1" applyAlignment="1">
      <alignment wrapText="1"/>
    </xf>
    <xf numFmtId="22" fontId="0" fillId="5" borderId="0" xfId="0" applyNumberFormat="1" applyFill="1" applyBorder="1" applyAlignment="1">
      <alignment horizontal="left"/>
    </xf>
    <xf numFmtId="0" fontId="0" fillId="5" borderId="0" xfId="0" applyFill="1" applyBorder="1" applyAlignment="1">
      <alignment horizontal="left"/>
    </xf>
    <xf numFmtId="0" fontId="0" fillId="0" borderId="0" xfId="0" applyBorder="1" applyAlignment="1">
      <alignment horizontal="left"/>
    </xf>
  </cellXfs>
  <cellStyles count="1">
    <cellStyle name="Normal" xfId="0" builtinId="0"/>
  </cellStyles>
  <dxfs count="27">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b val="0"/>
        <i val="0"/>
        <strike val="0"/>
        <condense val="0"/>
        <extend val="0"/>
        <outline val="0"/>
        <shadow val="0"/>
        <u val="none"/>
        <vertAlign val="baseline"/>
        <sz val="9"/>
        <color auto="1"/>
        <name val="Calibri"/>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left" vertical="top" wrapText="1"/>
      <border>
        <left/>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wrapText="1"/>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u val="none"/>
        <vertAlign val="baseline"/>
        <sz val="9"/>
        <color auto="1"/>
        <name val="Calibri"/>
        <family val="2"/>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right style="medium">
          <color indexed="64"/>
        </right>
      </border>
    </dxf>
    <dxf>
      <font>
        <strike val="0"/>
        <condense val="0"/>
        <extend val="0"/>
        <outline val="0"/>
        <shadow val="0"/>
        <vertAlign val="baseline"/>
        <sz val="9"/>
        <color auto="1"/>
        <name val="Calibri"/>
        <family val="2"/>
      </font>
      <alignment horizontal="center" vertical="center" wrapText="1"/>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outline="0">
        <left style="thin">
          <color rgb="FFD0D0D0"/>
        </left>
        <right style="thin">
          <color rgb="FFD0D0D0"/>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O12" totalsRowShown="0" headerRowDxfId="26" dataDxfId="25" tableBorderDxfId="24">
  <autoFilter ref="A1:O12" xr:uid="{00000000-0009-0000-0100-000001000000}"/>
  <tableColumns count="15">
    <tableColumn id="1" xr3:uid="{00000000-0010-0000-0000-000001000000}" name="Block" dataDxfId="23"/>
    <tableColumn id="2" xr3:uid="{00000000-0010-0000-0000-000002000000}" name="Control ID" dataDxfId="22"/>
    <tableColumn id="3" xr3:uid="{00000000-0010-0000-0000-000003000000}" name="Control Name" dataDxfId="21"/>
    <tableColumn id="4" xr3:uid="{00000000-0010-0000-0000-000004000000}" name="STATUS" dataDxfId="20"/>
    <tableColumn id="5" xr3:uid="{00000000-0010-0000-0000-000005000000}" name="What" dataDxfId="19"/>
    <tableColumn id="6" xr3:uid="{00000000-0010-0000-0000-000006000000}" name="Why" dataDxfId="18"/>
    <tableColumn id="7" xr3:uid="{00000000-0010-0000-0000-000007000000}" name="How" dataDxfId="17"/>
    <tableColumn id="14" xr3:uid="{00000000-0010-0000-0000-00000E000000}" name="What We Saw" dataDxfId="16"/>
    <tableColumn id="13" xr3:uid="{00000000-0010-0000-0000-00000D000000}" name="Why It Matters" dataDxfId="15"/>
    <tableColumn id="15" xr3:uid="{1DE42D8A-98BE-4168-95C1-F82A21D5E67D}" name="What You Should Do" dataDxfId="9"/>
    <tableColumn id="8" xr3:uid="{00000000-0010-0000-0000-000008000000}" name="Data Source" dataDxfId="14"/>
    <tableColumn id="9" xr3:uid="{00000000-0010-0000-0000-000009000000}" name="Impact" dataDxfId="13">
      <calculatedColumnFormula>VLOOKUP(Table1[[#This Row],[Importance]],'Logic and Calculation'!$H$3:$J$12,3,FALSE)</calculatedColumnFormula>
    </tableColumn>
    <tableColumn id="10" xr3:uid="{00000000-0010-0000-0000-00000A000000}" name="Importance" dataDxfId="12"/>
    <tableColumn id="11" xr3:uid="{00000000-0010-0000-0000-00000B000000}" name="Priority" dataDxfId="11"/>
    <tableColumn id="12" xr3:uid="{00000000-0010-0000-0000-00000C000000}" name="Notes/Intent" dataDxf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E39"/>
  <sheetViews>
    <sheetView tabSelected="1" zoomScale="85" zoomScaleNormal="85" workbookViewId="0">
      <pane ySplit="8" topLeftCell="A9" activePane="bottomLeft" state="frozen"/>
      <selection pane="bottomLeft" activeCell="E17" sqref="E17"/>
    </sheetView>
  </sheetViews>
  <sheetFormatPr defaultRowHeight="14.4" x14ac:dyDescent="0.3"/>
  <cols>
    <col min="1" max="1" width="21.44140625" customWidth="1"/>
    <col min="2" max="2" width="27.5546875" customWidth="1"/>
    <col min="3" max="3" width="38.21875" customWidth="1"/>
    <col min="4" max="4" width="52" style="20" customWidth="1"/>
    <col min="5" max="6" width="50.21875" style="20" customWidth="1"/>
    <col min="7" max="7" width="34.44140625" customWidth="1"/>
    <col min="8" max="8" width="21.5546875" style="15" bestFit="1" customWidth="1"/>
    <col min="9" max="9" width="26.21875" style="15" bestFit="1" customWidth="1"/>
    <col min="10" max="10" width="19.6640625" style="15" bestFit="1" customWidth="1"/>
    <col min="11" max="11" width="19.44140625" style="15" bestFit="1" customWidth="1"/>
    <col min="12" max="12" width="21.88671875" style="15" bestFit="1" customWidth="1"/>
    <col min="13" max="13" width="25" style="15" bestFit="1" customWidth="1"/>
    <col min="14" max="14" width="25.6640625" style="15" bestFit="1" customWidth="1"/>
    <col min="15" max="15" width="28.44140625" style="15" bestFit="1" customWidth="1"/>
    <col min="16" max="16" width="27.6640625" style="15" bestFit="1" customWidth="1"/>
    <col min="17" max="17" width="22.33203125" style="15" bestFit="1" customWidth="1"/>
    <col min="18" max="18" width="16.88671875" style="15" bestFit="1" customWidth="1"/>
    <col min="19" max="19" width="10.6640625" style="15" bestFit="1" customWidth="1"/>
    <col min="20" max="20" width="26.6640625" style="15" bestFit="1" customWidth="1"/>
    <col min="21" max="21" width="27.6640625" style="15" bestFit="1" customWidth="1"/>
    <col min="22" max="22" width="18.88671875" style="15" bestFit="1" customWidth="1"/>
    <col min="23" max="23" width="20" style="15" bestFit="1" customWidth="1"/>
    <col min="24" max="24" width="14.44140625" style="15" bestFit="1" customWidth="1"/>
    <col min="25" max="25" width="19.44140625" style="15" bestFit="1" customWidth="1"/>
    <col min="26" max="26" width="12.77734375" style="15" bestFit="1" customWidth="1"/>
    <col min="27" max="27" width="30.44140625" style="15" bestFit="1" customWidth="1"/>
    <col min="28" max="28" width="24.88671875" style="15" bestFit="1" customWidth="1"/>
    <col min="29" max="29" width="20.44140625" style="15" bestFit="1" customWidth="1"/>
    <col min="30" max="30" width="16.109375" style="15" bestFit="1" customWidth="1"/>
    <col min="31" max="31" width="21.5546875" style="15"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7" ht="28.05" customHeight="1" thickBot="1" x14ac:dyDescent="0.35">
      <c r="A1" s="39" t="s">
        <v>39</v>
      </c>
      <c r="B1" s="40"/>
      <c r="C1" s="41"/>
      <c r="D1" s="41"/>
      <c r="E1" s="41"/>
      <c r="F1" s="41"/>
      <c r="G1" s="41"/>
    </row>
    <row r="2" spans="1:7" x14ac:dyDescent="0.3">
      <c r="A2" s="23" t="s">
        <v>38</v>
      </c>
      <c r="B2" s="54" t="s">
        <v>157</v>
      </c>
      <c r="C2" s="15"/>
      <c r="D2" s="42"/>
      <c r="E2" s="43"/>
      <c r="F2" s="43"/>
      <c r="G2" s="43"/>
    </row>
    <row r="3" spans="1:7" x14ac:dyDescent="0.3">
      <c r="A3" s="22" t="s">
        <v>34</v>
      </c>
      <c r="B3" s="55" t="s">
        <v>35</v>
      </c>
      <c r="D3" s="21"/>
      <c r="E3"/>
      <c r="F3"/>
    </row>
    <row r="4" spans="1:7" ht="14.4" customHeight="1" x14ac:dyDescent="0.3">
      <c r="A4" s="23" t="s">
        <v>33</v>
      </c>
      <c r="B4" s="54" t="s">
        <v>36</v>
      </c>
      <c r="C4" s="15"/>
      <c r="D4" s="42"/>
      <c r="E4" s="43"/>
      <c r="F4" s="43"/>
      <c r="G4" s="43"/>
    </row>
    <row r="5" spans="1:7" ht="14.4" customHeight="1" x14ac:dyDescent="0.3">
      <c r="A5" s="23" t="s">
        <v>37</v>
      </c>
      <c r="B5" s="53">
        <v>46083.684884259259</v>
      </c>
      <c r="C5" s="15"/>
      <c r="D5" s="21"/>
      <c r="E5"/>
      <c r="F5"/>
    </row>
    <row r="6" spans="1:7" ht="15" thickBot="1" x14ac:dyDescent="0.35">
      <c r="A6" s="15"/>
      <c r="B6" s="15"/>
      <c r="C6" s="15"/>
      <c r="D6" s="19"/>
      <c r="E6" s="19"/>
      <c r="F6" s="19"/>
      <c r="G6" s="15"/>
    </row>
    <row r="7" spans="1:7" ht="21" customHeight="1" thickBot="1" x14ac:dyDescent="0.35">
      <c r="A7" s="44" t="s">
        <v>49</v>
      </c>
      <c r="B7" s="43"/>
      <c r="C7" s="43"/>
      <c r="D7" s="48" t="str">
        <f>'Logic and Calculation'!B5</f>
        <v>Healthy</v>
      </c>
      <c r="E7" s="49"/>
      <c r="F7" s="49"/>
      <c r="G7" s="49"/>
    </row>
    <row r="8" spans="1:7" ht="18" customHeight="1" x14ac:dyDescent="0.3">
      <c r="A8" s="44" t="s">
        <v>0</v>
      </c>
      <c r="B8" s="43"/>
      <c r="C8" s="43"/>
      <c r="D8" s="46" t="str">
        <f t="array" ref="D8">_xlfn.IFS(D7='Logic and Calculation'!L3,'Logic and Calculation'!M3,D7='Logic and Calculation'!L4,'Logic and Calculation'!M4,D7='Logic and Calculation'!L5,'Logic and Calculation'!M5)</f>
        <v>The account demonstrates stable growth, controlled efficiency, and manageable risk exposure. Current trajectory supports continued scaling.</v>
      </c>
      <c r="E8" s="47"/>
      <c r="F8" s="47"/>
      <c r="G8" s="47"/>
    </row>
    <row r="9" spans="1:7" ht="18" customHeight="1" thickBot="1" x14ac:dyDescent="0.35">
      <c r="A9" s="37"/>
      <c r="D9" s="38"/>
      <c r="E9"/>
      <c r="F9"/>
    </row>
    <row r="10" spans="1:7" ht="18" customHeight="1" thickBot="1" x14ac:dyDescent="0.35">
      <c r="A10" s="22" t="s">
        <v>50</v>
      </c>
      <c r="B10" s="30"/>
      <c r="C10" s="15"/>
      <c r="D10" s="50"/>
      <c r="E10" s="50"/>
      <c r="F10" s="50"/>
      <c r="G10" s="50"/>
    </row>
    <row r="11" spans="1:7" ht="18" customHeight="1" thickBot="1" x14ac:dyDescent="0.35">
      <c r="A11" s="22" t="s">
        <v>51</v>
      </c>
      <c r="B11" s="31"/>
      <c r="C11" s="15"/>
      <c r="D11" s="34" t="s">
        <v>53</v>
      </c>
      <c r="E11" s="33"/>
      <c r="F11" s="52"/>
      <c r="G11" s="15"/>
    </row>
    <row r="12" spans="1:7" ht="18" customHeight="1" thickBot="1" x14ac:dyDescent="0.35">
      <c r="A12" s="22" t="s">
        <v>52</v>
      </c>
      <c r="B12" s="32"/>
      <c r="C12" s="15"/>
      <c r="D12" s="19"/>
      <c r="E12" s="19"/>
      <c r="F12" s="19"/>
      <c r="G12" s="15"/>
    </row>
    <row r="13" spans="1:7" ht="18" customHeight="1" x14ac:dyDescent="0.3">
      <c r="A13" s="15"/>
      <c r="B13" s="15"/>
      <c r="C13" s="15"/>
      <c r="D13" s="19"/>
      <c r="E13" s="19"/>
      <c r="F13" s="19"/>
      <c r="G13" s="15"/>
    </row>
    <row r="14" spans="1:7" x14ac:dyDescent="0.3">
      <c r="A14" s="45" t="s">
        <v>1</v>
      </c>
      <c r="B14" s="43"/>
      <c r="C14" s="43"/>
      <c r="D14" s="43"/>
      <c r="E14" s="43"/>
      <c r="F14" s="43"/>
      <c r="G14" s="43"/>
    </row>
    <row r="15" spans="1:7" ht="19.95" customHeight="1" x14ac:dyDescent="0.3">
      <c r="A15" s="1" t="s">
        <v>2</v>
      </c>
      <c r="B15" s="1" t="s">
        <v>3</v>
      </c>
      <c r="C15" s="1" t="s">
        <v>4</v>
      </c>
      <c r="D15" s="1" t="s">
        <v>5</v>
      </c>
      <c r="E15" s="1" t="s">
        <v>6</v>
      </c>
      <c r="F15" s="1" t="s">
        <v>75</v>
      </c>
      <c r="G15" s="1" t="s">
        <v>7</v>
      </c>
    </row>
    <row r="16" spans="1:7" ht="87" customHeight="1" x14ac:dyDescent="0.3">
      <c r="A16" s="17" t="str" cm="1">
        <f t="array" ref="A16">_xlfn.LET(
  _xlpm.id, 'Account Health_Reference'!B2:B12,
  _xlpm.name, 'Account Health_Reference'!C2:C12,
  _xlpm.st, 'Account Health_Reference'!D2:D12,
  _xlpm.saw, 'Account Health_Reference'!H2:H12,
  _xlpm.matter, 'Account Health_Reference'!I2:I12,
  _xlpm.wysd, 'Account Health_Reference'!J2:J12,
  _xlpm.impact, 'Account Health_Reference'!L2:L12,
  _xlpm.data, _xlfn.HSTACK(_xlpm.id, _xlpm.name, _xlpm.st, _xlpm.saw, _xlpm.matter, _xlpm.wysd, _xlpm.impact),
  _xlfn._xlws.FILTER(_xlpm.data, _xlpm.st&lt;&gt;"OK", "No findings — all controls OK")
)</f>
        <v>No findings — all controls OK</v>
      </c>
      <c r="B16" s="17"/>
      <c r="C16" s="16"/>
      <c r="D16" s="17"/>
      <c r="E16" s="17"/>
      <c r="F16" s="17"/>
      <c r="G16" s="17"/>
    </row>
    <row r="17" spans="1:7" ht="87" customHeight="1" x14ac:dyDescent="0.3">
      <c r="A17" s="17"/>
      <c r="B17" s="17"/>
      <c r="C17" s="14"/>
      <c r="D17" s="17"/>
      <c r="E17" s="17"/>
      <c r="F17" s="17"/>
      <c r="G17" s="17"/>
    </row>
    <row r="18" spans="1:7" ht="44.4" customHeight="1" x14ac:dyDescent="0.3">
      <c r="A18" s="17"/>
      <c r="B18" s="17"/>
      <c r="C18" s="14"/>
      <c r="D18" s="17"/>
      <c r="E18" s="17"/>
      <c r="F18" s="17"/>
      <c r="G18" s="17"/>
    </row>
    <row r="19" spans="1:7" ht="44.4" customHeight="1" x14ac:dyDescent="0.3">
      <c r="A19" s="17"/>
      <c r="B19" s="17"/>
      <c r="C19" s="14"/>
      <c r="D19" s="17"/>
      <c r="E19" s="17"/>
      <c r="F19" s="17"/>
      <c r="G19" s="17"/>
    </row>
    <row r="20" spans="1:7" ht="44.4" customHeight="1" x14ac:dyDescent="0.3">
      <c r="A20" s="17"/>
      <c r="B20" s="17"/>
      <c r="C20" s="14"/>
      <c r="D20" s="17"/>
      <c r="E20" s="17"/>
      <c r="F20" s="17"/>
      <c r="G20" s="17"/>
    </row>
    <row r="21" spans="1:7" ht="44.4" customHeight="1" x14ac:dyDescent="0.3">
      <c r="A21" s="17"/>
      <c r="B21" s="17"/>
      <c r="C21" s="14"/>
      <c r="D21" s="17"/>
      <c r="E21" s="17"/>
      <c r="F21" s="17"/>
      <c r="G21" s="17"/>
    </row>
    <row r="22" spans="1:7" ht="44.4" customHeight="1" x14ac:dyDescent="0.3">
      <c r="A22" s="17"/>
      <c r="B22" s="17"/>
      <c r="C22" s="14"/>
      <c r="D22" s="17"/>
      <c r="E22" s="17"/>
      <c r="F22" s="17"/>
      <c r="G22" s="17"/>
    </row>
    <row r="23" spans="1:7" ht="44.4" customHeight="1" x14ac:dyDescent="0.3">
      <c r="A23" s="17"/>
      <c r="B23" s="17"/>
      <c r="C23" s="14"/>
      <c r="D23" s="17"/>
      <c r="E23" s="17"/>
      <c r="F23" s="17"/>
      <c r="G23" s="17"/>
    </row>
    <row r="24" spans="1:7" ht="44.4" customHeight="1" x14ac:dyDescent="0.3">
      <c r="A24" s="17"/>
      <c r="B24" s="17"/>
      <c r="C24" s="14"/>
      <c r="D24" s="17"/>
      <c r="E24" s="17"/>
      <c r="F24" s="17"/>
      <c r="G24" s="17"/>
    </row>
    <row r="25" spans="1:7" ht="44.4" customHeight="1" x14ac:dyDescent="0.3">
      <c r="A25" s="17"/>
      <c r="B25" s="17"/>
      <c r="C25" s="14"/>
      <c r="D25" s="17"/>
      <c r="E25" s="17"/>
      <c r="F25" s="17"/>
      <c r="G25" s="17"/>
    </row>
    <row r="26" spans="1:7" ht="44.4" customHeight="1" x14ac:dyDescent="0.3">
      <c r="A26" s="17"/>
      <c r="B26" s="17"/>
      <c r="C26" s="14"/>
      <c r="D26" s="17"/>
      <c r="E26" s="17"/>
      <c r="F26" s="17"/>
      <c r="G26" s="17"/>
    </row>
    <row r="27" spans="1:7" ht="44.4" customHeight="1" x14ac:dyDescent="0.3">
      <c r="A27" s="17"/>
      <c r="B27" s="17"/>
      <c r="C27" s="14"/>
      <c r="D27" s="17"/>
      <c r="E27" s="17"/>
      <c r="F27" s="17"/>
      <c r="G27" s="17"/>
    </row>
    <row r="28" spans="1:7" ht="44.4" customHeight="1" x14ac:dyDescent="0.3">
      <c r="A28" s="17"/>
      <c r="B28" s="17"/>
      <c r="C28" s="14"/>
      <c r="D28" s="17"/>
      <c r="E28" s="17"/>
      <c r="F28" s="17"/>
      <c r="G28" s="17"/>
    </row>
    <row r="29" spans="1:7" ht="44.4" customHeight="1" x14ac:dyDescent="0.3">
      <c r="A29" s="17"/>
      <c r="B29" s="17"/>
      <c r="C29" s="14"/>
      <c r="D29" s="17"/>
      <c r="E29" s="17"/>
      <c r="F29" s="17"/>
      <c r="G29" s="17"/>
    </row>
    <row r="30" spans="1:7" ht="44.4" customHeight="1" x14ac:dyDescent="0.3">
      <c r="A30" s="17"/>
      <c r="B30" s="17"/>
      <c r="C30" s="14"/>
      <c r="D30" s="17"/>
      <c r="E30" s="17"/>
      <c r="F30" s="17"/>
      <c r="G30" s="17"/>
    </row>
    <row r="31" spans="1:7" ht="44.4" customHeight="1" x14ac:dyDescent="0.3">
      <c r="A31" s="17"/>
      <c r="B31" s="17"/>
      <c r="C31" s="14"/>
      <c r="D31" s="17"/>
      <c r="E31" s="17"/>
      <c r="F31" s="17"/>
      <c r="G31" s="17"/>
    </row>
    <row r="32" spans="1:7" ht="44.4" customHeight="1" x14ac:dyDescent="0.3">
      <c r="A32" s="17"/>
      <c r="B32" s="17"/>
      <c r="C32" s="14"/>
      <c r="D32" s="17"/>
      <c r="E32" s="17"/>
      <c r="F32" s="17"/>
      <c r="G32" s="17"/>
    </row>
    <row r="33" spans="1:7" ht="44.4" customHeight="1" x14ac:dyDescent="0.3">
      <c r="A33" s="15"/>
      <c r="B33" s="15"/>
      <c r="C33" s="14"/>
      <c r="D33" s="19"/>
      <c r="E33" s="19"/>
      <c r="F33" s="19"/>
      <c r="G33" s="15"/>
    </row>
    <row r="34" spans="1:7" ht="44.4" customHeight="1" x14ac:dyDescent="0.3">
      <c r="A34" s="15"/>
      <c r="B34" s="15"/>
      <c r="C34" s="14"/>
      <c r="D34" s="19"/>
      <c r="E34" s="19"/>
      <c r="F34" s="19"/>
      <c r="G34" s="15"/>
    </row>
    <row r="35" spans="1:7" ht="44.4" customHeight="1" x14ac:dyDescent="0.3">
      <c r="C35" s="14"/>
    </row>
    <row r="36" spans="1:7" ht="44.4" customHeight="1" x14ac:dyDescent="0.3">
      <c r="C36" s="14"/>
    </row>
    <row r="37" spans="1:7" ht="44.4" customHeight="1" x14ac:dyDescent="0.3">
      <c r="C37" s="14"/>
    </row>
    <row r="38" spans="1:7" ht="44.4" customHeight="1" x14ac:dyDescent="0.3">
      <c r="C38" s="14"/>
    </row>
    <row r="39" spans="1:7" ht="44.4" customHeight="1" x14ac:dyDescent="0.3">
      <c r="C39" s="14"/>
    </row>
  </sheetData>
  <mergeCells count="9">
    <mergeCell ref="A1:G1"/>
    <mergeCell ref="D4:G4"/>
    <mergeCell ref="A7:C7"/>
    <mergeCell ref="A14:G14"/>
    <mergeCell ref="D8:G8"/>
    <mergeCell ref="A8:C8"/>
    <mergeCell ref="D2:G2"/>
    <mergeCell ref="D7:G7"/>
    <mergeCell ref="D10:G10"/>
  </mergeCells>
  <conditionalFormatting sqref="C16:C39">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G7">
    <cfRule type="containsText" dxfId="5" priority="1" operator="containsText" text="Healthy">
      <formula>NOT(ISERROR(SEARCH("Healthy",D7)))</formula>
    </cfRule>
    <cfRule type="containsText" dxfId="4" priority="2" operator="containsText" text="Needs Attention">
      <formula>NOT(ISERROR(SEARCH("Needs Attention",D7)))</formula>
    </cfRule>
    <cfRule type="containsText" dxfId="3" priority="3" operator="containsText" text="At Risk">
      <formula>NOT(ISERROR(SEARCH("At Risk",D7)))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12"/>
  <sheetViews>
    <sheetView workbookViewId="0">
      <pane ySplit="1" topLeftCell="A2" activePane="bottomLeft" state="frozen"/>
      <selection pane="bottomLeft" activeCell="E7" sqref="E7"/>
    </sheetView>
  </sheetViews>
  <sheetFormatPr defaultRowHeight="14.4" x14ac:dyDescent="0.3"/>
  <cols>
    <col min="1" max="1" width="22" style="13" customWidth="1"/>
    <col min="2" max="2" width="10.5546875" style="13" customWidth="1"/>
    <col min="3" max="3" width="30" style="13" customWidth="1"/>
    <col min="4" max="4" width="8.44140625" style="13" customWidth="1"/>
    <col min="5" max="5" width="38" style="25" customWidth="1"/>
    <col min="6" max="6" width="38" style="20" customWidth="1"/>
    <col min="7" max="7" width="42" style="20" customWidth="1"/>
    <col min="8" max="10" width="47.88671875" style="20" customWidth="1"/>
    <col min="11" max="11" width="13.5546875" customWidth="1"/>
    <col min="12" max="12" width="10" customWidth="1"/>
    <col min="13" max="13" width="11.6640625" customWidth="1"/>
    <col min="14" max="14" width="22" customWidth="1"/>
    <col min="15" max="15" width="39.44140625" customWidth="1"/>
  </cols>
  <sheetData>
    <row r="1" spans="1:15" ht="28.2" customHeight="1" thickBot="1" x14ac:dyDescent="0.35">
      <c r="A1" s="5" t="s">
        <v>8</v>
      </c>
      <c r="B1" s="26" t="s">
        <v>2</v>
      </c>
      <c r="C1" s="27" t="s">
        <v>3</v>
      </c>
      <c r="D1" s="27" t="s">
        <v>9</v>
      </c>
      <c r="E1" s="35" t="s">
        <v>10</v>
      </c>
      <c r="F1" s="27" t="s">
        <v>11</v>
      </c>
      <c r="G1" s="27" t="s">
        <v>12</v>
      </c>
      <c r="H1" s="28" t="s">
        <v>5</v>
      </c>
      <c r="I1" s="28" t="s">
        <v>6</v>
      </c>
      <c r="J1" s="51" t="s">
        <v>75</v>
      </c>
      <c r="K1" s="8" t="s">
        <v>13</v>
      </c>
      <c r="L1" s="8" t="s">
        <v>7</v>
      </c>
      <c r="M1" s="8" t="s">
        <v>14</v>
      </c>
      <c r="N1" s="8" t="s">
        <v>15</v>
      </c>
      <c r="O1" s="10" t="s">
        <v>16</v>
      </c>
    </row>
    <row r="2" spans="1:15" ht="36" customHeight="1" x14ac:dyDescent="0.3">
      <c r="A2" s="4" t="s">
        <v>74</v>
      </c>
      <c r="B2" s="4" t="s">
        <v>55</v>
      </c>
      <c r="C2" s="4" t="s">
        <v>66</v>
      </c>
      <c r="D2" s="4" t="s">
        <v>17</v>
      </c>
      <c r="E2" s="24" t="s">
        <v>76</v>
      </c>
      <c r="F2" s="3" t="s">
        <v>77</v>
      </c>
      <c r="G2" s="3" t="s">
        <v>78</v>
      </c>
      <c r="H2" s="3" t="s">
        <v>79</v>
      </c>
      <c r="I2" s="3" t="s">
        <v>80</v>
      </c>
      <c r="J2" s="7" t="s">
        <v>81</v>
      </c>
      <c r="K2" s="7" t="s">
        <v>82</v>
      </c>
      <c r="L2" s="6" t="str">
        <f>VLOOKUP(Table1[[#This Row],[Importance]],'Logic and Calculation'!$H$3:$J$12,3,FALSE)</f>
        <v>Critical</v>
      </c>
      <c r="M2" s="6">
        <v>10</v>
      </c>
      <c r="N2" s="4">
        <f>VLOOKUP(Table1[[#This Row],[Importance]],'Logic and Calculation'!$H$3:$J$12,2,FALSE)</f>
        <v>-30</v>
      </c>
      <c r="O2" s="11"/>
    </row>
    <row r="3" spans="1:15" ht="36" customHeight="1" x14ac:dyDescent="0.3">
      <c r="A3" s="4" t="s">
        <v>74</v>
      </c>
      <c r="B3" s="4" t="s">
        <v>56</v>
      </c>
      <c r="C3" s="4" t="s">
        <v>67</v>
      </c>
      <c r="D3" s="4" t="s">
        <v>17</v>
      </c>
      <c r="E3" s="29" t="s">
        <v>83</v>
      </c>
      <c r="F3" s="3" t="s">
        <v>84</v>
      </c>
      <c r="G3" s="3" t="s">
        <v>85</v>
      </c>
      <c r="H3" s="3" t="s">
        <v>86</v>
      </c>
      <c r="I3" s="3" t="s">
        <v>87</v>
      </c>
      <c r="J3" s="3" t="s">
        <v>88</v>
      </c>
      <c r="K3" s="3" t="s">
        <v>89</v>
      </c>
      <c r="L3" s="6" t="str">
        <f>VLOOKUP(Table1[[#This Row],[Importance]],'Logic and Calculation'!$H$3:$J$12,3,FALSE)</f>
        <v>Critical</v>
      </c>
      <c r="M3" s="4">
        <v>10</v>
      </c>
      <c r="N3" s="4">
        <f>VLOOKUP(Table1[[#This Row],[Importance]],'Logic and Calculation'!$H$3:$J$12,2,FALSE)</f>
        <v>-30</v>
      </c>
      <c r="O3" s="12"/>
    </row>
    <row r="4" spans="1:15" ht="36" customHeight="1" x14ac:dyDescent="0.3">
      <c r="A4" s="4" t="s">
        <v>74</v>
      </c>
      <c r="B4" s="4" t="s">
        <v>57</v>
      </c>
      <c r="C4" s="4" t="s">
        <v>68</v>
      </c>
      <c r="D4" s="4" t="s">
        <v>17</v>
      </c>
      <c r="E4" s="29" t="s">
        <v>90</v>
      </c>
      <c r="F4" s="3" t="s">
        <v>91</v>
      </c>
      <c r="G4" s="3" t="s">
        <v>92</v>
      </c>
      <c r="H4" s="3" t="s">
        <v>93</v>
      </c>
      <c r="I4" s="3" t="s">
        <v>94</v>
      </c>
      <c r="J4" s="3" t="s">
        <v>95</v>
      </c>
      <c r="K4" s="3" t="s">
        <v>96</v>
      </c>
      <c r="L4" s="6" t="str">
        <f>VLOOKUP(Table1[[#This Row],[Importance]],'Logic and Calculation'!$H$3:$J$12,3,FALSE)</f>
        <v>High</v>
      </c>
      <c r="M4" s="4">
        <v>8</v>
      </c>
      <c r="N4" s="4">
        <f>VLOOKUP(Table1[[#This Row],[Importance]],'Logic and Calculation'!$H$3:$J$12,2,FALSE)</f>
        <v>-24</v>
      </c>
      <c r="O4" s="12"/>
    </row>
    <row r="5" spans="1:15" ht="48" customHeight="1" x14ac:dyDescent="0.3">
      <c r="A5" s="4" t="s">
        <v>74</v>
      </c>
      <c r="B5" s="4" t="s">
        <v>58</v>
      </c>
      <c r="C5" s="4" t="s">
        <v>69</v>
      </c>
      <c r="D5" s="4" t="s">
        <v>17</v>
      </c>
      <c r="E5" s="29" t="s">
        <v>97</v>
      </c>
      <c r="F5" s="3" t="s">
        <v>98</v>
      </c>
      <c r="G5" s="3" t="s">
        <v>99</v>
      </c>
      <c r="H5" s="3" t="s">
        <v>100</v>
      </c>
      <c r="I5" s="3" t="s">
        <v>101</v>
      </c>
      <c r="J5" s="3" t="s">
        <v>102</v>
      </c>
      <c r="K5" s="3" t="s">
        <v>103</v>
      </c>
      <c r="L5" s="6" t="str">
        <f>VLOOKUP(Table1[[#This Row],[Importance]],'Logic and Calculation'!$H$3:$J$12,3,FALSE)</f>
        <v>Medium</v>
      </c>
      <c r="M5" s="4">
        <v>7</v>
      </c>
      <c r="N5" s="4">
        <f>VLOOKUP(Table1[[#This Row],[Importance]],'Logic and Calculation'!$H$3:$J$12,2,FALSE)</f>
        <v>-21</v>
      </c>
      <c r="O5" s="12"/>
    </row>
    <row r="6" spans="1:15" ht="36" customHeight="1" x14ac:dyDescent="0.3">
      <c r="A6" s="4" t="s">
        <v>74</v>
      </c>
      <c r="B6" s="4" t="s">
        <v>59</v>
      </c>
      <c r="C6" s="4" t="s">
        <v>70</v>
      </c>
      <c r="D6" s="4" t="s">
        <v>17</v>
      </c>
      <c r="E6" s="29" t="s">
        <v>104</v>
      </c>
      <c r="F6" s="3" t="s">
        <v>105</v>
      </c>
      <c r="G6" s="3" t="s">
        <v>106</v>
      </c>
      <c r="H6" s="3" t="s">
        <v>107</v>
      </c>
      <c r="I6" s="3" t="s">
        <v>108</v>
      </c>
      <c r="J6" s="3" t="s">
        <v>109</v>
      </c>
      <c r="K6" s="3" t="s">
        <v>110</v>
      </c>
      <c r="L6" s="6" t="str">
        <f>VLOOKUP(Table1[[#This Row],[Importance]],'Logic and Calculation'!$H$3:$J$12,3,FALSE)</f>
        <v>Visibility</v>
      </c>
      <c r="M6" s="4">
        <v>1</v>
      </c>
      <c r="N6" s="4">
        <f>VLOOKUP(Table1[[#This Row],[Importance]],'Logic and Calculation'!$H$3:$J$12,2,FALSE)</f>
        <v>0</v>
      </c>
      <c r="O6" s="12"/>
    </row>
    <row r="7" spans="1:15" ht="48" customHeight="1" x14ac:dyDescent="0.3">
      <c r="A7" s="4" t="s">
        <v>74</v>
      </c>
      <c r="B7" s="4" t="s">
        <v>60</v>
      </c>
      <c r="C7" s="4" t="s">
        <v>71</v>
      </c>
      <c r="D7" s="4" t="s">
        <v>17</v>
      </c>
      <c r="E7" s="29" t="s">
        <v>111</v>
      </c>
      <c r="F7" s="3" t="s">
        <v>112</v>
      </c>
      <c r="G7" s="3" t="s">
        <v>113</v>
      </c>
      <c r="H7" s="3" t="s">
        <v>114</v>
      </c>
      <c r="I7" s="3" t="s">
        <v>115</v>
      </c>
      <c r="J7" s="3" t="s">
        <v>116</v>
      </c>
      <c r="K7" s="3" t="s">
        <v>117</v>
      </c>
      <c r="L7" s="6" t="str">
        <f>VLOOKUP(Table1[[#This Row],[Importance]],'Logic and Calculation'!$H$3:$J$12,3,FALSE)</f>
        <v>Visibility</v>
      </c>
      <c r="M7" s="4">
        <v>1</v>
      </c>
      <c r="N7" s="4">
        <f>VLOOKUP(Table1[[#This Row],[Importance]],'Logic and Calculation'!$H$3:$J$12,2,FALSE)</f>
        <v>0</v>
      </c>
      <c r="O7" s="12"/>
    </row>
    <row r="8" spans="1:15" ht="36" customHeight="1" x14ac:dyDescent="0.3">
      <c r="A8" s="4" t="s">
        <v>74</v>
      </c>
      <c r="B8" s="4" t="s">
        <v>61</v>
      </c>
      <c r="C8" s="4" t="s">
        <v>72</v>
      </c>
      <c r="D8" s="4" t="s">
        <v>17</v>
      </c>
      <c r="E8" s="29" t="s">
        <v>118</v>
      </c>
      <c r="F8" s="3" t="s">
        <v>119</v>
      </c>
      <c r="G8" s="3" t="s">
        <v>120</v>
      </c>
      <c r="H8" s="3" t="s">
        <v>121</v>
      </c>
      <c r="I8" s="3" t="s">
        <v>122</v>
      </c>
      <c r="J8" s="3" t="s">
        <v>123</v>
      </c>
      <c r="K8" s="3" t="s">
        <v>124</v>
      </c>
      <c r="L8" s="6" t="str">
        <f>VLOOKUP(Table1[[#This Row],[Importance]],'Logic and Calculation'!$H$3:$J$12,3,FALSE)</f>
        <v>Visibility</v>
      </c>
      <c r="M8" s="4">
        <v>1</v>
      </c>
      <c r="N8" s="4">
        <f>VLOOKUP(Table1[[#This Row],[Importance]],'Logic and Calculation'!$H$3:$J$12,2,FALSE)</f>
        <v>0</v>
      </c>
      <c r="O8" s="12"/>
    </row>
    <row r="9" spans="1:15" ht="24" customHeight="1" x14ac:dyDescent="0.3">
      <c r="A9" s="4" t="s">
        <v>74</v>
      </c>
      <c r="B9" s="4" t="s">
        <v>62</v>
      </c>
      <c r="C9" s="4" t="s">
        <v>73</v>
      </c>
      <c r="D9" s="4" t="s">
        <v>17</v>
      </c>
      <c r="E9" s="29" t="s">
        <v>125</v>
      </c>
      <c r="F9" s="3" t="s">
        <v>126</v>
      </c>
      <c r="G9" s="3" t="s">
        <v>127</v>
      </c>
      <c r="H9" s="3" t="s">
        <v>128</v>
      </c>
      <c r="I9" s="3" t="s">
        <v>129</v>
      </c>
      <c r="J9" s="3" t="s">
        <v>130</v>
      </c>
      <c r="K9" s="3" t="s">
        <v>131</v>
      </c>
      <c r="L9" s="6" t="str">
        <f>VLOOKUP(Table1[[#This Row],[Importance]],'Logic and Calculation'!$H$3:$J$12,3,FALSE)</f>
        <v>Visibility</v>
      </c>
      <c r="M9" s="4">
        <v>1</v>
      </c>
      <c r="N9" s="4">
        <f>VLOOKUP(Table1[[#This Row],[Importance]],'Logic and Calculation'!$H$3:$J$12,2,FALSE)</f>
        <v>0</v>
      </c>
      <c r="O9" s="12"/>
    </row>
    <row r="10" spans="1:15" ht="48" customHeight="1" x14ac:dyDescent="0.3">
      <c r="A10" s="4" t="s">
        <v>132</v>
      </c>
      <c r="B10" s="4" t="s">
        <v>63</v>
      </c>
      <c r="C10" s="4" t="s">
        <v>133</v>
      </c>
      <c r="D10" s="4" t="s">
        <v>17</v>
      </c>
      <c r="E10" s="29" t="s">
        <v>136</v>
      </c>
      <c r="F10" s="3" t="s">
        <v>137</v>
      </c>
      <c r="G10" s="3" t="s">
        <v>138</v>
      </c>
      <c r="H10" s="3" t="s">
        <v>139</v>
      </c>
      <c r="I10" s="3" t="s">
        <v>140</v>
      </c>
      <c r="J10" s="3" t="s">
        <v>141</v>
      </c>
      <c r="K10" s="3" t="s">
        <v>142</v>
      </c>
      <c r="L10" s="6" t="str">
        <f>VLOOKUP(Table1[[#This Row],[Importance]],'Logic and Calculation'!$H$3:$J$12,3,FALSE)</f>
        <v>High</v>
      </c>
      <c r="M10" s="4">
        <v>9</v>
      </c>
      <c r="N10" s="4">
        <f>VLOOKUP(Table1[[#This Row],[Importance]],'Logic and Calculation'!$H$3:$J$12,2,FALSE)</f>
        <v>-27</v>
      </c>
      <c r="O10" s="12"/>
    </row>
    <row r="11" spans="1:15" ht="36" customHeight="1" x14ac:dyDescent="0.3">
      <c r="A11" s="4" t="s">
        <v>132</v>
      </c>
      <c r="B11" s="4" t="s">
        <v>64</v>
      </c>
      <c r="C11" s="4" t="s">
        <v>134</v>
      </c>
      <c r="D11" s="4" t="s">
        <v>17</v>
      </c>
      <c r="E11" s="29" t="s">
        <v>143</v>
      </c>
      <c r="F11" s="3" t="s">
        <v>144</v>
      </c>
      <c r="G11" s="3" t="s">
        <v>145</v>
      </c>
      <c r="H11" s="3" t="s">
        <v>146</v>
      </c>
      <c r="I11" s="3" t="s">
        <v>147</v>
      </c>
      <c r="J11" s="3" t="s">
        <v>148</v>
      </c>
      <c r="K11" s="3" t="s">
        <v>149</v>
      </c>
      <c r="L11" s="6" t="str">
        <f>VLOOKUP(Table1[[#This Row],[Importance]],'Logic and Calculation'!$H$3:$J$12,3,FALSE)</f>
        <v>High</v>
      </c>
      <c r="M11" s="4">
        <v>9</v>
      </c>
      <c r="N11" s="4">
        <f>VLOOKUP(Table1[[#This Row],[Importance]],'Logic and Calculation'!$H$3:$J$12,2,FALSE)</f>
        <v>-27</v>
      </c>
      <c r="O11" s="12"/>
    </row>
    <row r="12" spans="1:15" ht="60" customHeight="1" x14ac:dyDescent="0.3">
      <c r="A12" s="4" t="s">
        <v>132</v>
      </c>
      <c r="B12" s="4" t="s">
        <v>65</v>
      </c>
      <c r="C12" s="4" t="s">
        <v>135</v>
      </c>
      <c r="D12" s="4" t="s">
        <v>17</v>
      </c>
      <c r="E12" s="29" t="s">
        <v>150</v>
      </c>
      <c r="F12" s="3" t="s">
        <v>151</v>
      </c>
      <c r="G12" s="3" t="s">
        <v>152</v>
      </c>
      <c r="H12" s="3" t="s">
        <v>153</v>
      </c>
      <c r="I12" s="3" t="s">
        <v>154</v>
      </c>
      <c r="J12" s="3" t="s">
        <v>155</v>
      </c>
      <c r="K12" s="3" t="s">
        <v>156</v>
      </c>
      <c r="L12" s="6" t="str">
        <f>VLOOKUP(Table1[[#This Row],[Importance]],'Logic and Calculation'!$H$3:$J$12,3,FALSE)</f>
        <v>High</v>
      </c>
      <c r="M12" s="4">
        <v>8</v>
      </c>
      <c r="N12" s="4">
        <f>VLOOKUP(Table1[[#This Row],[Importance]],'Logic and Calculation'!$H$3:$J$12,2,FALSE)</f>
        <v>-24</v>
      </c>
      <c r="O12" s="12"/>
    </row>
  </sheetData>
  <phoneticPr fontId="14" type="noConversion"/>
  <conditionalFormatting sqref="D2:D12">
    <cfRule type="cellIs" dxfId="2" priority="4" stopIfTrue="1" operator="equal">
      <formula>"OK"</formula>
    </cfRule>
    <cfRule type="cellIs" dxfId="1" priority="5" stopIfTrue="1" operator="equal">
      <formula>"PARTIAL"</formula>
    </cfRule>
    <cfRule type="cellIs" dxfId="0" priority="6" stopIfTrue="1" operator="equal">
      <formula>"FLAG"</formula>
    </cfRule>
  </conditionalFormatting>
  <dataValidations count="1">
    <dataValidation type="list" allowBlank="1" sqref="D2:D12"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18"/>
  <sheetViews>
    <sheetView workbookViewId="0">
      <pane ySplit="7" topLeftCell="A8" activePane="bottomLeft" state="frozen"/>
      <selection pane="bottomLeft" activeCell="C27" sqref="C27"/>
    </sheetView>
  </sheetViews>
  <sheetFormatPr defaultRowHeight="14.4" x14ac:dyDescent="0.3"/>
  <cols>
    <col min="1" max="1" width="22.7773437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19</v>
      </c>
    </row>
    <row r="2" spans="1:13" x14ac:dyDescent="0.3">
      <c r="A2" t="s">
        <v>20</v>
      </c>
      <c r="B2">
        <v>100</v>
      </c>
      <c r="D2" t="s">
        <v>21</v>
      </c>
      <c r="H2" s="9" t="s">
        <v>14</v>
      </c>
      <c r="I2" s="9" t="s">
        <v>22</v>
      </c>
      <c r="J2" s="9" t="s">
        <v>23</v>
      </c>
      <c r="L2" s="18" t="s">
        <v>49</v>
      </c>
      <c r="M2" s="18" t="s">
        <v>24</v>
      </c>
    </row>
    <row r="3" spans="1:13" x14ac:dyDescent="0.3">
      <c r="A3" t="s">
        <v>25</v>
      </c>
      <c r="B3">
        <f>SUM(F8:F952)</f>
        <v>0</v>
      </c>
      <c r="D3" t="s">
        <v>46</v>
      </c>
      <c r="H3">
        <v>10</v>
      </c>
      <c r="I3" s="36">
        <v>-30</v>
      </c>
      <c r="J3" t="s">
        <v>26</v>
      </c>
      <c r="L3" t="s">
        <v>45</v>
      </c>
      <c r="M3" t="s">
        <v>40</v>
      </c>
    </row>
    <row r="4" spans="1:13" x14ac:dyDescent="0.3">
      <c r="A4" t="s">
        <v>27</v>
      </c>
      <c r="B4">
        <f>B2+B3</f>
        <v>100</v>
      </c>
      <c r="D4" t="s">
        <v>47</v>
      </c>
      <c r="H4">
        <v>9</v>
      </c>
      <c r="I4" s="36">
        <v>-27</v>
      </c>
      <c r="J4" t="s">
        <v>28</v>
      </c>
      <c r="L4" t="s">
        <v>44</v>
      </c>
      <c r="M4" t="s">
        <v>41</v>
      </c>
    </row>
    <row r="5" spans="1:13" x14ac:dyDescent="0.3">
      <c r="A5" t="s">
        <v>54</v>
      </c>
      <c r="B5" t="str">
        <f>IF(B4&gt;=75,"Healthy",IF(AND(B4&lt;=74,B4&gt;=40),"Needs Attention","At Risk"))</f>
        <v>Healthy</v>
      </c>
      <c r="D5" t="s">
        <v>48</v>
      </c>
      <c r="H5">
        <v>8</v>
      </c>
      <c r="I5" s="36">
        <v>-24</v>
      </c>
      <c r="J5" t="s">
        <v>28</v>
      </c>
      <c r="L5" t="s">
        <v>43</v>
      </c>
      <c r="M5" t="s">
        <v>42</v>
      </c>
    </row>
    <row r="6" spans="1:13" x14ac:dyDescent="0.3">
      <c r="A6" t="s">
        <v>29</v>
      </c>
      <c r="B6" t="s">
        <v>30</v>
      </c>
      <c r="H6">
        <v>7</v>
      </c>
      <c r="I6" s="36">
        <v>-21</v>
      </c>
      <c r="J6" t="s">
        <v>18</v>
      </c>
    </row>
    <row r="7" spans="1:13" x14ac:dyDescent="0.3">
      <c r="H7">
        <v>6</v>
      </c>
      <c r="I7" s="36">
        <v>-18</v>
      </c>
      <c r="J7" t="s">
        <v>18</v>
      </c>
    </row>
    <row r="8" spans="1:13" x14ac:dyDescent="0.3">
      <c r="A8" t="str">
        <f>'Account Health_Reference'!B2</f>
        <v>H001</v>
      </c>
      <c r="B8" t="str">
        <f>'Account Health_Reference'!A2</f>
        <v>KPI PERFORMANCE</v>
      </c>
      <c r="C8" t="str">
        <f>'Account Health_Reference'!C2</f>
        <v>Total ROAS vs Target</v>
      </c>
      <c r="D8" t="str">
        <f>'Account Health_Reference'!D2</f>
        <v>OK</v>
      </c>
      <c r="E8">
        <f>'Account Health_Reference'!N2</f>
        <v>-30</v>
      </c>
      <c r="F8">
        <f t="shared" ref="F8:F18" si="0">IF(D8="FLAG",E8,IF(D8="PARTIAL",E8*0.5,0))</f>
        <v>0</v>
      </c>
      <c r="H8">
        <v>5</v>
      </c>
      <c r="I8" s="36">
        <v>-15</v>
      </c>
      <c r="J8" t="s">
        <v>18</v>
      </c>
    </row>
    <row r="9" spans="1:13" x14ac:dyDescent="0.3">
      <c r="A9" t="str">
        <f>'Account Health_Reference'!B3</f>
        <v>H002</v>
      </c>
      <c r="B9" t="str">
        <f>'Account Health_Reference'!A3</f>
        <v>KPI PERFORMANCE</v>
      </c>
      <c r="C9" t="str">
        <f>'Account Health_Reference'!C3</f>
        <v>Ad Spend Pacing vs Budget Target</v>
      </c>
      <c r="D9" t="str">
        <f>'Account Health_Reference'!D3</f>
        <v>OK</v>
      </c>
      <c r="E9">
        <f>'Account Health_Reference'!N3</f>
        <v>-30</v>
      </c>
      <c r="F9">
        <f t="shared" si="0"/>
        <v>0</v>
      </c>
      <c r="H9">
        <v>4</v>
      </c>
      <c r="I9" s="36">
        <v>-12</v>
      </c>
      <c r="J9" t="s">
        <v>31</v>
      </c>
    </row>
    <row r="10" spans="1:13" x14ac:dyDescent="0.3">
      <c r="A10" t="str">
        <f>'Account Health_Reference'!B4</f>
        <v>H003</v>
      </c>
      <c r="B10" t="str">
        <f>'Account Health_Reference'!A4</f>
        <v>KPI PERFORMANCE</v>
      </c>
      <c r="C10" t="str">
        <f>'Account Health_Reference'!C4</f>
        <v>YoY Ad Sales Growth</v>
      </c>
      <c r="D10" t="str">
        <f>'Account Health_Reference'!D4</f>
        <v>OK</v>
      </c>
      <c r="E10">
        <f>'Account Health_Reference'!N4</f>
        <v>-24</v>
      </c>
      <c r="F10">
        <f t="shared" si="0"/>
        <v>0</v>
      </c>
      <c r="H10">
        <v>3</v>
      </c>
      <c r="I10" s="36">
        <v>-9</v>
      </c>
      <c r="J10" t="s">
        <v>31</v>
      </c>
    </row>
    <row r="11" spans="1:13" x14ac:dyDescent="0.3">
      <c r="A11" t="str">
        <f>'Account Health_Reference'!B5</f>
        <v>H004</v>
      </c>
      <c r="B11" t="str">
        <f>'Account Health_Reference'!A5</f>
        <v>KPI PERFORMANCE</v>
      </c>
      <c r="C11" t="str">
        <f>'Account Health_Reference'!C5</f>
        <v>YoY Ad Spend Growth</v>
      </c>
      <c r="D11" t="str">
        <f>'Account Health_Reference'!D5</f>
        <v>OK</v>
      </c>
      <c r="E11">
        <f>'Account Health_Reference'!N5</f>
        <v>-21</v>
      </c>
      <c r="F11">
        <f t="shared" si="0"/>
        <v>0</v>
      </c>
      <c r="H11">
        <v>2</v>
      </c>
      <c r="I11" s="36">
        <v>-6</v>
      </c>
      <c r="J11" t="s">
        <v>32</v>
      </c>
    </row>
    <row r="12" spans="1:13" x14ac:dyDescent="0.3">
      <c r="A12" t="str">
        <f>'Account Health_Reference'!B6</f>
        <v>H005</v>
      </c>
      <c r="B12" t="str">
        <f>'Account Health_Reference'!A6</f>
        <v>KPI PERFORMANCE</v>
      </c>
      <c r="C12" t="str">
        <f>'Account Health_Reference'!C6</f>
        <v>CTR Trend (MoM)</v>
      </c>
      <c r="D12" t="str">
        <f>'Account Health_Reference'!D6</f>
        <v>OK</v>
      </c>
      <c r="E12">
        <f>'Account Health_Reference'!N6</f>
        <v>0</v>
      </c>
      <c r="F12">
        <f t="shared" si="0"/>
        <v>0</v>
      </c>
      <c r="H12">
        <v>1</v>
      </c>
      <c r="I12" s="36">
        <v>0</v>
      </c>
      <c r="J12" t="s">
        <v>32</v>
      </c>
    </row>
    <row r="13" spans="1:13" x14ac:dyDescent="0.3">
      <c r="A13" t="str">
        <f>'Account Health_Reference'!B7</f>
        <v>H006</v>
      </c>
      <c r="B13" t="str">
        <f>'Account Health_Reference'!A7</f>
        <v>KPI PERFORMANCE</v>
      </c>
      <c r="C13" t="str">
        <f>'Account Health_Reference'!C7</f>
        <v>CVR Trend (MoM)</v>
      </c>
      <c r="D13" t="str">
        <f>'Account Health_Reference'!D7</f>
        <v>OK</v>
      </c>
      <c r="E13">
        <f>'Account Health_Reference'!N7</f>
        <v>0</v>
      </c>
      <c r="F13">
        <f t="shared" si="0"/>
        <v>0</v>
      </c>
    </row>
    <row r="14" spans="1:13" x14ac:dyDescent="0.3">
      <c r="A14" t="str">
        <f>'Account Health_Reference'!B8</f>
        <v>H007</v>
      </c>
      <c r="B14" t="str">
        <f>'Account Health_Reference'!A8</f>
        <v>KPI PERFORMANCE</v>
      </c>
      <c r="C14" t="str">
        <f>'Account Health_Reference'!C8</f>
        <v>CPM Trend (MoM)</v>
      </c>
      <c r="D14" t="str">
        <f>'Account Health_Reference'!D8</f>
        <v>OK</v>
      </c>
      <c r="E14">
        <f>'Account Health_Reference'!N8</f>
        <v>0</v>
      </c>
      <c r="F14">
        <f t="shared" si="0"/>
        <v>0</v>
      </c>
    </row>
    <row r="15" spans="1:13" x14ac:dyDescent="0.3">
      <c r="A15" t="str">
        <f>'Account Health_Reference'!B9</f>
        <v>H008</v>
      </c>
      <c r="B15" t="str">
        <f>'Account Health_Reference'!A9</f>
        <v>KPI PERFORMANCE</v>
      </c>
      <c r="C15" t="str">
        <f>'Account Health_Reference'!C9</f>
        <v>DPVR Stable or Improving</v>
      </c>
      <c r="D15" t="str">
        <f>'Account Health_Reference'!D9</f>
        <v>OK</v>
      </c>
      <c r="E15">
        <f>'Account Health_Reference'!N9</f>
        <v>0</v>
      </c>
      <c r="F15">
        <f t="shared" si="0"/>
        <v>0</v>
      </c>
    </row>
    <row r="16" spans="1:13" x14ac:dyDescent="0.3">
      <c r="A16" t="str">
        <f>'Account Health_Reference'!B10</f>
        <v>H014</v>
      </c>
      <c r="B16" t="str">
        <f>'Account Health_Reference'!A10</f>
        <v>CLIENT &amp; FINANCIAL HEALTH</v>
      </c>
      <c r="C16" t="str">
        <f>'Account Health_Reference'!C10</f>
        <v>GGS Commitment On Track</v>
      </c>
      <c r="D16" t="str">
        <f>'Account Health_Reference'!D10</f>
        <v>OK</v>
      </c>
      <c r="E16">
        <f>'Account Health_Reference'!N10</f>
        <v>-27</v>
      </c>
      <c r="F16">
        <f t="shared" si="0"/>
        <v>0</v>
      </c>
    </row>
    <row r="17" spans="1:6" x14ac:dyDescent="0.3">
      <c r="A17" t="str">
        <f>'Account Health_Reference'!B11</f>
        <v>H016</v>
      </c>
      <c r="B17" t="str">
        <f>'Account Health_Reference'!A11</f>
        <v>CLIENT &amp; FINANCIAL HEALTH</v>
      </c>
      <c r="C17" t="str">
        <f>'Account Health_Reference'!C11</f>
        <v>Financial Status Clear (No Overdue Payments)</v>
      </c>
      <c r="D17" t="str">
        <f>'Account Health_Reference'!D11</f>
        <v>OK</v>
      </c>
      <c r="E17">
        <f>'Account Health_Reference'!N11</f>
        <v>-27</v>
      </c>
      <c r="F17">
        <f t="shared" si="0"/>
        <v>0</v>
      </c>
    </row>
    <row r="18" spans="1:6" x14ac:dyDescent="0.3">
      <c r="A18" t="str">
        <f>'Account Health_Reference'!B12</f>
        <v>H017</v>
      </c>
      <c r="B18" t="str">
        <f>'Account Health_Reference'!A12</f>
        <v>CLIENT &amp; FINANCIAL HEALTH</v>
      </c>
      <c r="C18" t="str">
        <f>'Account Health_Reference'!C12</f>
        <v>Churn Score Reviewed</v>
      </c>
      <c r="D18" t="str">
        <f>'Account Health_Reference'!D12</f>
        <v>OK</v>
      </c>
      <c r="E18">
        <f>'Account Health_Reference'!N12</f>
        <v>-24</v>
      </c>
      <c r="F18">
        <f t="shared" si="0"/>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Health_Analysis</vt:lpstr>
      <vt:lpstr>Account Health_Reference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2026-04-24T12:44:35Z</dcterms:modified>
</cp:coreProperties>
</file>