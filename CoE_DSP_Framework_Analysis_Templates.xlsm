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DSP FULL ANALYSIS/AGENT DSP Python and Templates/"/>
    </mc:Choice>
  </mc:AlternateContent>
  <xr:revisionPtr revIDLastSave="468" documentId="11_D7210D98AB9F6511CFA7447711E4920A3EEDBF74" xr6:coauthVersionLast="47" xr6:coauthVersionMax="47" xr10:uidLastSave="{C873E818-F15E-4D03-B502-490E5F013073}"/>
  <bookViews>
    <workbookView xWindow="-28920" yWindow="-15" windowWidth="29040" windowHeight="15720" xr2:uid="{00000000-000D-0000-FFFF-FFFF00000000}"/>
  </bookViews>
  <sheets>
    <sheet name="Framework_Analysis" sheetId="1" r:id="rId1"/>
    <sheet name="Framework_Reference" sheetId="2" r:id="rId2"/>
    <sheet name="Logic and Calculation" sheetId="3" r:id="rId3"/>
  </sheets>
  <definedNames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result" hidden="1" xlm="1">#NAME?</definedName>
    <definedName name="_xlpm.saw" hidden="1" xlm="1">#NAME?</definedName>
    <definedName name="_xlpm.st" hidden="1" xlm="1">#NAME?</definedName>
    <definedName name="_xlpm.W" hidden="1" xlm="1">#NAME?</definedName>
    <definedName name="_xlpm.WH" hidden="1" xlm="1">#NAME?</definedName>
    <definedName name="_xlpm.WHA" hidden="1" xlm="1">#NAME?</definedName>
    <definedName name="_xlpm.what" hidden="1" xlm="1">#NAME?</definedName>
    <definedName name="_xlpm.why" hidden="1" xlm="1">#NAME?</definedName>
    <definedName name="_xlpm.wysd" hidden="1" xlm="1">#NAME?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" i="1" l="1" a="1"/>
  <c r="A12" i="1" s="1"/>
  <c r="L2" i="2" l="1"/>
  <c r="L3" i="2"/>
  <c r="L4" i="2"/>
  <c r="A9" i="3"/>
  <c r="B9" i="3"/>
  <c r="C9" i="3"/>
  <c r="D9" i="3"/>
  <c r="F9" i="3" s="1"/>
  <c r="A10" i="3"/>
  <c r="B10" i="3"/>
  <c r="C10" i="3"/>
  <c r="D10" i="3"/>
  <c r="F10" i="3" s="1"/>
  <c r="A11" i="3"/>
  <c r="B11" i="3"/>
  <c r="C11" i="3"/>
  <c r="D11" i="3"/>
  <c r="F11" i="3" s="1"/>
  <c r="A12" i="3"/>
  <c r="B12" i="3"/>
  <c r="C12" i="3"/>
  <c r="D12" i="3"/>
  <c r="F12" i="3" s="1"/>
  <c r="A13" i="3"/>
  <c r="B13" i="3"/>
  <c r="C13" i="3"/>
  <c r="D13" i="3"/>
  <c r="F13" i="3" s="1"/>
  <c r="A14" i="3"/>
  <c r="B14" i="3"/>
  <c r="C14" i="3"/>
  <c r="D14" i="3"/>
  <c r="F14" i="3" s="1"/>
  <c r="A15" i="3"/>
  <c r="B15" i="3"/>
  <c r="C15" i="3"/>
  <c r="D15" i="3"/>
  <c r="F15" i="3" s="1"/>
  <c r="A16" i="3"/>
  <c r="B16" i="3"/>
  <c r="C16" i="3"/>
  <c r="D16" i="3"/>
  <c r="F16" i="3" s="1"/>
  <c r="A17" i="3"/>
  <c r="B17" i="3"/>
  <c r="C17" i="3"/>
  <c r="D17" i="3"/>
  <c r="F17" i="3" s="1"/>
  <c r="A18" i="3"/>
  <c r="B18" i="3"/>
  <c r="C18" i="3"/>
  <c r="D18" i="3"/>
  <c r="F18" i="3" s="1"/>
  <c r="A19" i="3"/>
  <c r="B19" i="3"/>
  <c r="C19" i="3"/>
  <c r="D19" i="3"/>
  <c r="F19" i="3" s="1"/>
  <c r="A20" i="3"/>
  <c r="B20" i="3"/>
  <c r="C20" i="3"/>
  <c r="D20" i="3"/>
  <c r="F20" i="3" s="1"/>
  <c r="L5" i="2"/>
  <c r="L6" i="2"/>
  <c r="L7" i="2"/>
  <c r="L8" i="2"/>
  <c r="L9" i="2"/>
  <c r="L10" i="2"/>
  <c r="L11" i="2"/>
  <c r="L12" i="2"/>
  <c r="L13" i="2"/>
  <c r="L14" i="2"/>
  <c r="N8" i="2"/>
  <c r="E14" i="3" s="1"/>
  <c r="N9" i="2"/>
  <c r="E15" i="3" s="1"/>
  <c r="N10" i="2"/>
  <c r="E16" i="3" s="1"/>
  <c r="N11" i="2"/>
  <c r="E17" i="3" s="1"/>
  <c r="N12" i="2"/>
  <c r="E18" i="3" s="1"/>
  <c r="N13" i="2"/>
  <c r="E19" i="3" s="1"/>
  <c r="N14" i="2"/>
  <c r="E20" i="3" s="1"/>
  <c r="N7" i="2"/>
  <c r="E13" i="3" s="1"/>
  <c r="D8" i="3"/>
  <c r="F8" i="3" s="1"/>
  <c r="C8" i="3"/>
  <c r="B8" i="3"/>
  <c r="A8" i="3"/>
  <c r="N6" i="2"/>
  <c r="E12" i="3" s="1"/>
  <c r="N5" i="2"/>
  <c r="E11" i="3" s="1"/>
  <c r="N4" i="2"/>
  <c r="E10" i="3" s="1"/>
  <c r="N3" i="2"/>
  <c r="E9" i="3" s="1"/>
  <c r="N2" i="2"/>
  <c r="E8" i="3" l="1"/>
  <c r="B3" i="3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<sst xmlns="http://schemas.openxmlformats.org/spreadsheetml/2006/main" count="213" uniqueCount="172">
  <si>
    <t>53588A - US - ZooPro — Framework Analysis</t>
  </si>
  <si>
    <t>Framework Grade</t>
  </si>
  <si>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</si>
  <si>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</si>
  <si>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</si>
  <si>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</si>
  <si>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</si>
  <si>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</si>
  <si>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</si>
  <si>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</si>
  <si>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</si>
  <si>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</si>
  <si>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</si>
  <si>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</si>
  <si>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</si>
  <si>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</si>
  <si>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</si>
  <si>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</si>
  <si>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</si>
  <si>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OK</t>
  </si>
  <si>
    <t>Medium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</si>
  <si>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</si>
  <si>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</si>
  <si>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</si>
  <si>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</si>
  <si>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</si>
  <si>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</si>
  <si>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</si>
  <si>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</si>
  <si>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The account framework is compliant. Core governance controls are correctly configured, enabling stable optimization and scalable performance.</t>
  </si>
  <si>
    <t>Final Score</t>
  </si>
  <si>
    <t>40–&lt;75 = Need Improvement</t>
  </si>
  <si>
    <t>High</t>
  </si>
  <si>
    <t>Need Improvement</t>
  </si>
  <si>
    <t>Structural deviations were identified that limit full system governance. Remediation is required before scaling.</t>
  </si>
  <si>
    <t>&lt;40 = Non-Compliant</t>
  </si>
  <si>
    <t>Non-Compliant</t>
  </si>
  <si>
    <t>Critical framework gaps were identified that materially restrict system control and optimization. Immediate remediation is required prior to any scaling activity.</t>
  </si>
  <si>
    <t>Partial weighting</t>
  </si>
  <si>
    <t>PARTIAL uses 50% of Priority</t>
  </si>
  <si>
    <t>Low</t>
  </si>
  <si>
    <t>Visibility</t>
  </si>
  <si>
    <t>Is Compliant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</si>
  <si>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</si>
  <si>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</si>
  <si>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</si>
  <si>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</si>
  <si>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Framework Version &gt; </t>
  </si>
  <si>
    <t>75–100 = Is Compliant</t>
  </si>
  <si>
    <t xml:space="preserve">Download Date &gt; </t>
  </si>
  <si>
    <t>F001</t>
  </si>
  <si>
    <t>Order Naming Convention</t>
  </si>
  <si>
    <t>F002</t>
  </si>
  <si>
    <t>Order Goal / KPI Alignment</t>
  </si>
  <si>
    <t>F003</t>
  </si>
  <si>
    <t>Agency Fee Correctly Applied</t>
  </si>
  <si>
    <t>Verify that all active orders follow the DSP naming standard that identifies product line, strategy, and funnel stage.</t>
  </si>
  <si>
    <t>Consistent naming makes audits faster and prevents performance being attributed to the wrong funnel layer or product.</t>
  </si>
  <si>
    <t>Pull 06_DSP_Order_Report and check each OrderName against the naming convention pattern. Flag any order that is missing a recognizable funnel stage or product identifier.</t>
  </si>
  <si>
    <t>Account has {total_orders} active orders. {orders_with_valid_name} follow the naming standard. {orders_with_invalid_name} do not conform: {invalid_order_names}.</t>
  </si>
  <si>
    <t>Orders that do not follow the naming standard make it impossible to quickly identify funnel coverage gaps or misallocated budget during a review.</t>
  </si>
  <si>
    <t>Rename the non-conforming orders using the DSP naming standard. Use the format: [ProductLine]_[Strategy]_[FunnelStage].</t>
  </si>
  <si>
    <t>06_DSP_Order_Report · OrderName</t>
  </si>
  <si>
    <t>Verify that the optimization goal on each order matches its funnel stage — ROAS for lower funnel, DPV or NTB for upper funnel.</t>
  </si>
  <si>
    <t>A mismatched goal causes the DSP bidder to optimize for the wrong outcome, which inflates or deflates reported performance without reflecting real business results.</t>
  </si>
  <si>
    <t>Cross-reference 06_DSP_Order_Report FunnelStage with the goal field. For each order, confirm the goal is appropriate for its stage. Flag orders where the goal contradicts the funnel position.</t>
  </si>
  <si>
    <t>Account has {total_orders} orders reviewed. {orders_aligned} have goals aligned with funnel stage. {orders_misaligned} have mismatched goals: {misaligned_order_details}.</t>
  </si>
  <si>
    <t>Running a ROAS goal on an awareness order punishes the campaign for not converting when it was never designed to. This creates false underperformance flags and incorrect optimization pressure.</t>
  </si>
  <si>
    <t>Update the goal on each misaligned order to match the intended funnel stage. Confirm the change with the DSP strategist before saving.</t>
  </si>
  <si>
    <t>06_DSP_Order_Report · FunnelStage + 14_DSP_Project_on_SF · Target_ROAS__c</t>
  </si>
  <si>
    <t>Verify that the agency fee is set at the standard rate (9.75%) on all active orders.</t>
  </si>
  <si>
    <t>An incorrect fee rate distorts the effective cost of media, affects ROAS calculations, and creates client billing inaccuracies.</t>
  </si>
  <si>
    <t>Pull 15_Customer_Journey_Funnel_Segm and check the AgencyFee field on each order. Flag any order where the fee deviates from 9.75%.</t>
  </si>
  <si>
    <t>Account has {total_orders} orders checked. {orders_correct_fee} have the correct 9.75% fee. {orders_wrong_fee} orders have an incorrect fee: {wrong_fee_order_details}.</t>
  </si>
  <si>
    <t>A fee set too low means Quartile is subsidizing the client's media cost. A fee set too high creates billing disputes and erodes client trust.</t>
  </si>
  <si>
    <t>Correct the agency fee on the flagged orders to 9.75%. Escalate to billing if the error has been active for more than one billing cycle.</t>
  </si>
  <si>
    <t>15_Customer_Journey_Funnel_Segm · AgencyFee</t>
  </si>
  <si>
    <t>What You Should Do</t>
  </si>
  <si>
    <t>F004</t>
  </si>
  <si>
    <t>Line Item Naming Convention</t>
  </si>
  <si>
    <t>F005</t>
  </si>
  <si>
    <t>Audience / Contextual Targeting Aligned</t>
  </si>
  <si>
    <t>F006</t>
  </si>
  <si>
    <t>Frequency Cap Set (1–5)</t>
  </si>
  <si>
    <t>F007</t>
  </si>
  <si>
    <t>Viewability Setting Optimized</t>
  </si>
  <si>
    <t>F008</t>
  </si>
  <si>
    <t>Device Targeting Matches Strategy</t>
  </si>
  <si>
    <t>Verify that all active line items follow a naming pattern that identifies audience type and funnel stage.</t>
  </si>
  <si>
    <t>Without consistent naming, performance analysis at the audience level is blocked and optimization decisions become guesswork.</t>
  </si>
  <si>
    <t>Pull 09_DSP_LineItem_Report and review each LineItemName. Check for the presence of audience type and funnel stage identifiers. Flag line items that are generic, numbered, or missing this structure.</t>
  </si>
  <si>
    <t>Account has {total_line_items} active line items. {li_with_valid_name} follow the naming standard. {li_with_invalid_name} do not: {invalid_li_names}.</t>
  </si>
  <si>
    <t>Line items without clear naming hide which audiences are spending, which are converting, and where budget concentration is building up unnoticed.</t>
  </si>
  <si>
    <t>Rename the flagged line items using the standard pattern: [AudienceType]_[FunnelStage]_[Product]. Align with the DSP strategist on the correct audience classification for each.</t>
  </si>
  <si>
    <t>09_DSP_LineItem_Report · LineItemName</t>
  </si>
  <si>
    <t>Verify that each line item is using audience or contextual targeting that is appropriate for its funnel stage.</t>
  </si>
  <si>
    <t>Upper funnel line items running remarketing audiences waste impressions on already-converted users. Lower funnel line items using broad contextual audiences will not convert efficiently.</t>
  </si>
  <si>
    <t>Pull 09_DSP_LineItem_Report and review the Strategy and FunnelStage fields for each line item. Flag mismatches where the targeting type does not match the funnel intent.</t>
  </si>
  <si>
    <t>Account has {total_line_items} line items reviewed. {li_aligned} have targeting aligned with funnel stage. {li_misaligned} have targeting mismatches: {misaligned_li_details}.</t>
  </si>
  <si>
    <t>Targeting misalignment is one of the most common causes of wasted DSP spend. Retargeting audiences on awareness orders reach the wrong pool; broad contextual on retargeting orders miss intent signals entirely.</t>
  </si>
  <si>
    <t>Reassign the targeting on each flagged line item to match its funnel stage. Upper funnel should use in-market, lifestyle, or contextual. Lower funnel should use purchase remarketing or product page visitors.</t>
  </si>
  <si>
    <t>09_DSP_LineItem_Report · Strategy + FunnelStage</t>
  </si>
  <si>
    <t>Verify that frequency caps are set and fall within the 1–5 range on all active line items.</t>
  </si>
  <si>
    <t>Frequency above 5 increases ad fatigue without improving conversion rate, raising CPM with no corresponding benefit to the account.</t>
  </si>
  <si>
    <t>Review frequency cap settings on all active line items. Flag any line item where the cap exceeds 5 or where no cap is set at all.</t>
  </si>
  <si>
    <t>Account has {total_line_items} line items reviewed. {li_valid_freq} are within the 1–5 range. {li_invalid_freq} are outside the range or uncapped: {invalid_freq_li_details}.</t>
  </si>
  <si>
    <t>Uncapped or high-frequency delivery means the same users are seeing the same ad repeatedly. Past a threshold, additional impressions do not convert — they just increase cost and reduce brand perception.</t>
  </si>
  <si>
    <t>Set frequency caps to the recommended range for each line item. For awareness line items use 3–5. For retargeting use 1–3. Remove uncapped line items immediately.</t>
  </si>
  <si>
    <t>15_Customer_Journey_Funnel_Segm · LineItem level check</t>
  </si>
  <si>
    <t>Verify that viewability is set to the recommended threshold on all active line items.</t>
  </si>
  <si>
    <t>Low viewability thresholds waste spend on ads that are never seen, inflating impressions without delivering business impact.</t>
  </si>
  <si>
    <t>Review viewability settings on all active line items. Flag any line item where the viewability threshold is below the recommended standard.</t>
  </si>
  <si>
    <t>Account has {total_line_items} line items reviewed. {li_valid_viewability} meet the viewability standard. {li_low_viewability} are below threshold or not set: {low_viewability_li_details}.</t>
  </si>
  <si>
    <t>Paying for impressions that are never seen is pure waste. Low viewability also distorts CTR and DPVR benchmarks, making performance appear worse than it is.</t>
  </si>
  <si>
    <t>Update viewability settings to the recommended threshold on all flagged line items. This is a one-time fix that immediately improves impression quality.</t>
  </si>
  <si>
    <t>Verify that device targeting on each line item is intentional and aligned with the expected audience behavior for its funnel stage.</t>
  </si>
  <si>
    <t>Default all-device targeting on retargeting line items can inflate mobile spend where conversion rates are typically lower than desktop.</t>
  </si>
  <si>
    <t>Review device targeting configuration on active line items. Flag any line item where all-device targeting is applied to a conversion-focused order without a documented reason.</t>
  </si>
  <si>
    <t>Account has {total_line_items} line items reviewed. {li_correct_device} have appropriate device targeting. {li_default_device} are using default all-device on conversion-focused line items: {default_device_li_details}.</t>
  </si>
  <si>
    <t>Unintentional all-device targeting on lower funnel orders dilutes spend across devices with lower purchase intent. This increases CPO and reduces ROAS on the orders where efficiency matters most.</t>
  </si>
  <si>
    <t>For retargeting and conversion line items, restrict device targeting based on where the audience converts. Confirm the intended split with the DSP strategist before applying.</t>
  </si>
  <si>
    <t>09_DSP_LineItem_Report · LineItemName (inferred)</t>
  </si>
  <si>
    <t>F009</t>
  </si>
  <si>
    <t>Merchant Token (PPC &amp; DSP Overlap Tag)</t>
  </si>
  <si>
    <t>F010</t>
  </si>
  <si>
    <t>AMC Entity Connected</t>
  </si>
  <si>
    <t>Verify that the merchant token is set correctly on the advertiser account to remove attribution overlap between PPC and DSP.</t>
  </si>
  <si>
    <t>Without the merchant token, the same purchase can be counted by both SP and DSP, inflating reported DSP sales and making ROAS appear artificially high.</t>
  </si>
  <si>
    <t>Review the advertiser-level merchant token setting in the DSP account. Confirm it is correctly configured to deduplicate PPC and DSP sales attribution.</t>
  </si>
  <si>
    <t>Merchant token is {merchant_token_status}. Overlap deduplication is {overlap_dedup_status}.</t>
  </si>
  <si>
    <t>Double-counting attributed sales between PPC and DSP distorts the actual efficiency of both channels. It makes DSP look more productive than it is and creates inaccurate reporting for the client.</t>
  </si>
  <si>
    <t>Set the merchant token if it is missing. If already set, verify it is pointing to the correct merchant account. Escalate to the DSP strategist if the token is unknown.</t>
  </si>
  <si>
    <t>Planilha CoE v2 — Advertiser: Merchant token</t>
  </si>
  <si>
    <t>Verify that the AMC entity is connected and that Quartile has access to run custom reports and audience queries.</t>
  </si>
  <si>
    <t>Without AMC, audience overlap analysis, path-to-purchase reports, and custom segments built from first-party data are all unavailable.</t>
  </si>
  <si>
    <t>Check the AMC connection status in the advertiser settings. Confirm both the client AMC entity is linked and that Quartile has the correct access level to run queries.</t>
  </si>
  <si>
    <t>AMC entity connection status: {amc_connection_status}. Quartile access level: {quartile_amc_access}.</t>
  </si>
  <si>
    <t>AMC is the infrastructure for advanced DSP strategy. Without it, the team cannot build lapsed buyer audiences, cannot run frequency overlap reports, and cannot execute on incrementality testing.</t>
  </si>
  <si>
    <t>Connect the AMC entity if not yet done. If connected but Quartile access is missing, request access from the client. Document the connection status in Salesforce.</t>
  </si>
  <si>
    <t>Planilha CoE v2 — AMC Entity: AMC Connection + Quartile Connection</t>
  </si>
  <si>
    <t>F011</t>
  </si>
  <si>
    <t>All Active Orders Delivering</t>
  </si>
  <si>
    <t>F012</t>
  </si>
  <si>
    <t>Line Item Delivery Balanced Across Orders</t>
  </si>
  <si>
    <t>F013</t>
  </si>
  <si>
    <t>Add to Cart Rate Healthy (≥ 5% of DPV)</t>
  </si>
  <si>
    <t>Verify that no active orders with valid flight dates have zero spend in the last 7 days.</t>
  </si>
  <si>
    <t>A zero-spend active order means delivery stopped without a documented reason — a critical signal that something broke in setup, audience, or inventory.</t>
  </si>
  <si>
    <t>Pull 06_DSP_Order_Report and 15_Customer_Journey_Funnel_Segm. Filter for orders with active flight dates and check for zero spend in the last 7-day window. Flag any found.</t>
  </si>
  <si>
    <t>Account has {total_active_orders} active orders checked. {orders_delivering} are delivering. {orders_zero_spend} have zero spend in the last 7 days: {zero_spend_order_names}.</t>
  </si>
  <si>
    <t>An active order not delivering means budget is going unspent and funnel coverage has a hole. In a lower funnel order, this directly costs attributed revenue. In an upper funnel order, the audience pool stops growing.</t>
  </si>
  <si>
    <t>Investigate each zero-spend order immediately. Check audience size, bid thresholds, inventory type, and flight date validity. Fix or pause the order and document the reason in Salesforce.</t>
  </si>
  <si>
    <t>06_DSP_Order_Report · AdSpend / 15_Customer_Journey_Funnel_Segm</t>
  </si>
  <si>
    <t>Verify that no single order is consuming more than 80% of total DSP spend unless the strategy explicitly documents that concentration.</t>
  </si>
  <si>
    <t>Budget concentration in one order creates dependency on a single audience and removes resilience — if that segment deteriorates, the whole account suffers.</t>
  </si>
  <si>
    <t>Pull 06_DSP_Order_Report and calculate each order's share of total account spend. Flag any order above 80% share that is not documented as intentionally dominant.</t>
  </si>
  <si>
    <t>Total account DSP spend: {total_spend}. Highest spend concentration: {top_order_name} at {top_order_share}% of total. {budget_balance_status}.</t>
  </si>
  <si>
    <t>An account where one order absorbs 80%+ of budget is effectively a single-order strategy, regardless of what the structure shows. If that order's audience exhausts or CPM rises, there is no fallback.</t>
  </si>
  <si>
    <t>Rebalance budget allocation across orders to match the documented funnel strategy. If high concentration is intentional, document the reason in the order notes and confirm with the client.</t>
  </si>
  <si>
    <t>06_DSP_Order_Report · AdSpend per order / total AdSpend</t>
  </si>
  <si>
    <t>Verify that add-to-cart events represent at least 5% of detail page views on lower funnel orders.</t>
  </si>
  <si>
    <t>Low add-to-cart rate on a retargeting campaign means users are visiting the PDP but not acting — typically a sign of a pricing, product, or creative mismatch.</t>
  </si>
  <si>
    <t>Pull 02_DSP_Date_Range_KPIs and calculate AddToCart / DPV. Apply the check specifically to lower funnel orders. Flag any order where ATC rate falls below 5%.</t>
  </si>
  <si>
    <t>Account-level ATC rate is {atc_rate}% (AddToCart: {add_to_cart}, DPV: {dpv}). Lower funnel benchmark is ≥5%. Status: {atc_status}.</t>
  </si>
  <si>
    <t>ATC rate below 5% on retargeting means the DSP audience is seeing the product and visiting the page but not adding. This signals a PDP issue, price positioning problem, or a retargeting audience that has already exhausted its buyers.</t>
  </si>
  <si>
    <t>Review the PDP for price competitiveness, image quality, and review count. If the PDP is strong, tighten the retargeting audience to higher-intent segments only. Consider pausing low-DPVR creatives.</t>
  </si>
  <si>
    <t>02_DSP_Date_Range_KPIs · AddToCart / DPV</t>
  </si>
  <si>
    <t>DELIVERY &amp; PACING</t>
  </si>
  <si>
    <t>ACCOUNT SETUP</t>
  </si>
  <si>
    <t>LINE ITEM LEVEL</t>
  </si>
  <si>
    <t>ORDER LEVEL</t>
  </si>
  <si>
    <t>DSP v1.0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</si>
</sst>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 style="thin">
        <color rgb="FFD0D0D0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left" vertical="top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9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0" fillId="0" borderId="0" xfId="0" applyAlignment="1">
      <alignment horizontal="center"/>
    </xf>
    <xf numFmtId="0" fontId="5" fillId="2" borderId="8" xfId="0" applyFont="1" applyFill="1" applyBorder="1" applyAlignment="1">
      <alignment horizontal="center" wrapText="1"/>
    </xf>
    <xf numFmtId="0" fontId="6" fillId="0" borderId="6" xfId="0" applyFont="1" applyBorder="1" applyAlignment="1">
      <alignment horizont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0" borderId="0" xfId="0" applyAlignment="1">
      <alignment vertical="center" wrapText="1"/>
    </xf>
    <xf numFmtId="0" fontId="5" fillId="2" borderId="16" xfId="0" applyFont="1" applyFill="1" applyBorder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5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22" fontId="0" fillId="5" borderId="0" xfId="0" applyNumberFormat="1" applyFill="1" applyAlignment="1">
      <alignment horizontal="left" vertical="center"/>
    </xf>
    <xf numFmtId="0" fontId="1" fillId="7" borderId="13" xfId="0" applyFont="1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5" borderId="13" xfId="0" applyFont="1" applyFill="1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0" fontId="0" fillId="0" borderId="15" xfId="0" applyBorder="1" applyAlignment="1">
      <alignment horizontal="right" vertical="center"/>
    </xf>
    <xf numFmtId="0" fontId="4" fillId="0" borderId="0" xfId="0" applyFont="1" applyAlignment="1">
      <alignment horizontal="center" vertical="center" wrapText="1"/>
    </xf>
    <xf numFmtId="0" fontId="9" fillId="5" borderId="13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</cellXfs>
  <cellStyles count="1">
    <cellStyle name="Normal" xfId="0" builtinId="0"/>
  </cellStyles>
  <dxfs count="27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1" indent="0" justifyLastLine="0" shrinkToFit="0" readingOrder="0"/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O14" totalsRowShown="0" headerRowDxfId="26" dataDxfId="25" tableBorderDxfId="24">
  <autoFilter ref="A1:O14" xr:uid="{00000000-0009-0000-0100-000001000000}"/>
  <tableColumns count="15">
    <tableColumn id="1" xr3:uid="{00000000-0010-0000-0000-000001000000}" name="Block" dataDxfId="23"/>
    <tableColumn id="2" xr3:uid="{00000000-0010-0000-0000-000002000000}" name="Control ID" dataDxfId="22"/>
    <tableColumn id="3" xr3:uid="{00000000-0010-0000-0000-000003000000}" name="Control Name" dataDxfId="21"/>
    <tableColumn id="4" xr3:uid="{00000000-0010-0000-0000-000004000000}" name="STATUS" dataDxfId="20"/>
    <tableColumn id="5" xr3:uid="{00000000-0010-0000-0000-000005000000}" name="What" dataDxfId="19"/>
    <tableColumn id="6" xr3:uid="{00000000-0010-0000-0000-000006000000}" name="Why" dataDxfId="18"/>
    <tableColumn id="7" xr3:uid="{00000000-0010-0000-0000-000007000000}" name="How" dataDxfId="17"/>
    <tableColumn id="14" xr3:uid="{00000000-0010-0000-0000-00000E000000}" name="What We Saw" dataDxfId="16"/>
    <tableColumn id="13" xr3:uid="{00000000-0010-0000-0000-00000D000000}" name="Why It Matters" dataDxfId="15"/>
    <tableColumn id="15" xr3:uid="{975240E1-5AE9-4CDE-B0AF-8E898DFCEC68}" name="What You Should Do" dataDxfId="14"/>
    <tableColumn id="8" xr3:uid="{00000000-0010-0000-0000-000008000000}" name="Data Source" dataDxfId="13"/>
    <tableColumn id="9" xr3:uid="{00000000-0010-0000-0000-000009000000}" name="Impact" dataDxfId="12"/>
    <tableColumn id="10" xr3:uid="{00000000-0010-0000-0000-00000A000000}" name="Importance" dataDxfId="11"/>
    <tableColumn id="11" xr3:uid="{00000000-0010-0000-0000-00000B000000}" name="Priority" dataDxfId="10"/>
    <tableColumn id="12" xr3:uid="{00000000-0010-0000-0000-00000C000000}" name="Notes/Intent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35"/>
  <sheetViews>
    <sheetView tabSelected="1" zoomScale="85" zoomScaleNormal="85" workbookViewId="0">
      <pane ySplit="8" topLeftCell="A9" activePane="bottomLeft" state="frozen"/>
      <selection pane="bottomLeft" activeCell="C18" sqref="C18"/>
    </sheetView>
  </sheetViews>
  <sheetFormatPr defaultRowHeight="14.4" x14ac:dyDescent="0.3"/>
  <cols>
    <col min="1" max="1" width="21.44140625" style="19" customWidth="1"/>
    <col min="2" max="2" width="27.5546875" style="19" customWidth="1"/>
    <col min="3" max="3" width="38.21875" style="19" customWidth="1"/>
    <col min="4" max="4" width="52" style="31" customWidth="1"/>
    <col min="5" max="5" width="50.21875" style="31" customWidth="1"/>
    <col min="6" max="6" width="38.6640625" style="19" customWidth="1"/>
    <col min="7" max="7" width="33.6640625" style="19" customWidth="1"/>
    <col min="8" max="8" width="26.77734375" bestFit="1" customWidth="1"/>
    <col min="9" max="9" width="21.5546875" bestFit="1" customWidth="1"/>
    <col min="10" max="10" width="26.21875" bestFit="1" customWidth="1"/>
    <col min="11" max="11" width="19.6640625" bestFit="1" customWidth="1"/>
    <col min="12" max="12" width="19.44140625" bestFit="1" customWidth="1"/>
    <col min="13" max="13" width="21.88671875" bestFit="1" customWidth="1"/>
    <col min="14" max="14" width="25" bestFit="1" customWidth="1"/>
    <col min="15" max="15" width="25.6640625" bestFit="1" customWidth="1"/>
    <col min="16" max="16" width="28.44140625" bestFit="1" customWidth="1"/>
    <col min="17" max="17" width="27.6640625" bestFit="1" customWidth="1"/>
    <col min="18" max="18" width="22.33203125" bestFit="1" customWidth="1"/>
    <col min="19" max="19" width="16.88671875" bestFit="1" customWidth="1"/>
    <col min="20" max="20" width="10.6640625" bestFit="1" customWidth="1"/>
    <col min="21" max="21" width="26.6640625" bestFit="1" customWidth="1"/>
    <col min="22" max="22" width="27.6640625" bestFit="1" customWidth="1"/>
    <col min="23" max="23" width="18.88671875" bestFit="1" customWidth="1"/>
    <col min="24" max="24" width="20" bestFit="1" customWidth="1"/>
    <col min="25" max="25" width="14.44140625" bestFit="1" customWidth="1"/>
    <col min="26" max="26" width="19.44140625" bestFit="1" customWidth="1"/>
    <col min="27" max="27" width="12.77734375" bestFit="1" customWidth="1"/>
    <col min="28" max="28" width="30.44140625" bestFit="1" customWidth="1"/>
    <col min="29" max="29" width="24.88671875" bestFit="1" customWidth="1"/>
    <col min="30" max="30" width="20.44140625" bestFit="1" customWidth="1"/>
    <col min="31" max="31" width="16.109375" bestFit="1" customWidth="1"/>
    <col min="32" max="32" width="21.5546875" bestFit="1" customWidth="1"/>
    <col min="33" max="33" width="25.77734375" bestFit="1" customWidth="1"/>
    <col min="34" max="34" width="16.88671875" bestFit="1" customWidth="1"/>
    <col min="35" max="35" width="24.109375" bestFit="1" customWidth="1"/>
    <col min="36" max="36" width="26" bestFit="1" customWidth="1"/>
    <col min="37" max="37" width="22.21875" bestFit="1" customWidth="1"/>
    <col min="38" max="38" width="28" bestFit="1" customWidth="1"/>
    <col min="39" max="39" width="22.21875" bestFit="1" customWidth="1"/>
    <col min="40" max="40" width="16.77734375" bestFit="1" customWidth="1"/>
    <col min="41" max="41" width="14.33203125" bestFit="1" customWidth="1"/>
    <col min="42" max="42" width="16.5546875" bestFit="1" customWidth="1"/>
    <col min="43" max="43" width="15.5546875" bestFit="1" customWidth="1"/>
    <col min="44" max="44" width="21.21875" bestFit="1" customWidth="1"/>
    <col min="45" max="45" width="19.33203125" bestFit="1" customWidth="1"/>
    <col min="46" max="46" width="20.21875" bestFit="1" customWidth="1"/>
    <col min="47" max="47" width="18.5546875" bestFit="1" customWidth="1"/>
    <col min="48" max="48" width="19.6640625" bestFit="1" customWidth="1"/>
    <col min="49" max="49" width="29.33203125" bestFit="1" customWidth="1"/>
    <col min="50" max="50" width="12.44140625" bestFit="1" customWidth="1"/>
    <col min="51" max="51" width="22.6640625" bestFit="1" customWidth="1"/>
    <col min="52" max="52" width="15.77734375" bestFit="1" customWidth="1"/>
    <col min="53" max="53" width="28.21875" bestFit="1" customWidth="1"/>
    <col min="54" max="54" width="21.5546875" bestFit="1" customWidth="1"/>
    <col min="55" max="55" width="26.33203125" bestFit="1" customWidth="1"/>
    <col min="56" max="56" width="19.5546875" bestFit="1" customWidth="1"/>
    <col min="57" max="57" width="11" bestFit="1" customWidth="1"/>
  </cols>
  <sheetData>
    <row r="1" spans="1:8" ht="28.05" customHeight="1" thickBot="1" x14ac:dyDescent="0.35">
      <c r="A1" s="35" t="s">
        <v>0</v>
      </c>
      <c r="B1" s="36"/>
      <c r="C1" s="36"/>
      <c r="D1" s="36"/>
      <c r="E1" s="36"/>
      <c r="F1" s="36"/>
      <c r="G1" s="37"/>
      <c r="H1" s="22"/>
    </row>
    <row r="2" spans="1:8" x14ac:dyDescent="0.3">
      <c r="A2" s="29" t="s">
        <v>47</v>
      </c>
      <c r="B2" s="32" t="s">
        <v>171</v>
      </c>
      <c r="C2" s="23"/>
      <c r="D2" s="38"/>
      <c r="E2" s="39"/>
      <c r="F2" s="39"/>
      <c r="G2" s="39"/>
      <c r="H2" s="22"/>
    </row>
    <row r="3" spans="1:8" x14ac:dyDescent="0.3">
      <c r="A3" s="29" t="s">
        <v>44</v>
      </c>
      <c r="B3" s="33" t="s">
        <v>45</v>
      </c>
      <c r="D3" s="30"/>
      <c r="E3" s="19"/>
      <c r="H3" s="22"/>
    </row>
    <row r="4" spans="1:8" ht="14.4" customHeight="1" x14ac:dyDescent="0.3">
      <c r="A4" s="29" t="s">
        <v>43</v>
      </c>
      <c r="B4" s="32" t="s">
        <v>46</v>
      </c>
      <c r="C4" s="23"/>
      <c r="D4" s="38"/>
      <c r="E4" s="39"/>
      <c r="F4" s="39"/>
      <c r="G4" s="39"/>
      <c r="H4" s="22"/>
    </row>
    <row r="5" spans="1:8" ht="14.4" customHeight="1" x14ac:dyDescent="0.3">
      <c r="A5" s="29" t="s">
        <v>49</v>
      </c>
      <c r="B5" s="34">
        <v>46083.684884259259</v>
      </c>
      <c r="C5" s="23"/>
      <c r="D5" s="30"/>
      <c r="E5" s="19"/>
      <c r="H5" s="22"/>
    </row>
    <row r="6" spans="1:8" ht="15" thickBot="1" x14ac:dyDescent="0.35">
      <c r="A6" s="23"/>
      <c r="B6" s="23"/>
      <c r="C6" s="23"/>
      <c r="D6" s="25"/>
      <c r="E6" s="25"/>
      <c r="F6" s="23"/>
      <c r="G6" s="23"/>
      <c r="H6" s="22"/>
    </row>
    <row r="7" spans="1:8" ht="21" customHeight="1" thickBot="1" x14ac:dyDescent="0.35">
      <c r="A7" s="40" t="s">
        <v>1</v>
      </c>
      <c r="B7" s="41"/>
      <c r="C7" s="42"/>
      <c r="D7" s="47" t="str">
        <f>'Logic and Calculation'!B5</f>
        <v>Is Compliant</v>
      </c>
      <c r="E7" s="45"/>
      <c r="F7" s="45"/>
      <c r="G7" s="46"/>
      <c r="H7" s="22"/>
    </row>
    <row r="8" spans="1:8" ht="18" customHeight="1" thickBot="1" x14ac:dyDescent="0.35">
      <c r="A8" s="40" t="s">
        <v>2</v>
      </c>
      <c r="B8" s="41"/>
      <c r="C8" s="42"/>
      <c r="D8" s="44" t="str">
        <f t="array" ref="D8">_xlfn.IFS(D7='Logic and Calculation'!L3,'Logic and Calculation'!M3,D7='Logic and Calculation'!L4,'Logic and Calculation'!M4,D7='Logic and Calculation'!L5,'Logic and Calculation'!M5)</f>
        <v>The account framework is compliant. Core governance controls are correctly configured, enabling stable optimization and scalable performance.</v>
      </c>
      <c r="E8" s="45"/>
      <c r="F8" s="45"/>
      <c r="G8" s="46"/>
      <c r="H8" s="22"/>
    </row>
    <row r="9" spans="1:8" ht="18" customHeight="1" x14ac:dyDescent="0.3">
      <c r="A9" s="23"/>
      <c r="B9" s="23"/>
      <c r="C9" s="23"/>
      <c r="D9" s="25"/>
      <c r="E9" s="25"/>
      <c r="F9" s="23"/>
      <c r="G9" s="23"/>
      <c r="H9" s="22"/>
    </row>
    <row r="10" spans="1:8" x14ac:dyDescent="0.3">
      <c r="A10" s="43" t="s">
        <v>3</v>
      </c>
      <c r="B10" s="39"/>
      <c r="C10" s="39"/>
      <c r="D10" s="39"/>
      <c r="E10" s="39"/>
      <c r="F10" s="39"/>
      <c r="G10" s="39"/>
    </row>
    <row r="11" spans="1:8" ht="19.95" customHeight="1" x14ac:dyDescent="0.3">
      <c r="A11" s="1" t="s">
        <v>4</v>
      </c>
      <c r="B11" s="1" t="s">
        <v>5</v>
      </c>
      <c r="C11" s="1" t="s">
        <v>6</v>
      </c>
      <c r="D11" s="1" t="s">
        <v>7</v>
      </c>
      <c r="E11" s="1" t="s">
        <v>8</v>
      </c>
      <c r="F11" s="1" t="s">
        <v>77</v>
      </c>
      <c r="G11" s="1" t="s">
        <v>9</v>
      </c>
      <c r="H11" s="20"/>
    </row>
    <row r="12" spans="1:8" ht="45" customHeight="1" x14ac:dyDescent="0.3">
      <c r="A12" s="25" t="str" cm="1">
        <f t="array" ref="A12">_xlfn.LET(
  _xlpm.id, Framework_Reference!B2:B49,
  _xlpm.name, Framework_Reference!C2:C49,
  _xlpm.st, Framework_Reference!D2:D49,
  _xlpm.saw, Framework_Reference!H2:H49,
  _xlpm.matter, Framework_Reference!I2:I49,
  _xlpm.wysd, Framework_Reference!J2:J49,
  _xlpm.impact, Framework_Reference!L2:L49,
  _xlpm.data, _xlfn.HSTACK(_xlpm.id, _xlpm.name, _xlpm.st, _xlpm.saw, _xlpm.matter, _xlpm.wysd, _xlpm.impact),
  IFERROR(_xlfn._xlws.FILTER(_xlpm.data, (_xlpm.st&lt;&gt;"OK")*(_xlpm.st&lt;&gt;"")), "No findings — all controls OK")
)</f>
        <v>No findings — all controls OK</v>
      </c>
      <c r="B12" s="25"/>
      <c r="C12" s="24"/>
      <c r="D12" s="25"/>
      <c r="E12" s="25"/>
      <c r="F12" s="25"/>
      <c r="G12" s="25"/>
      <c r="H12" s="22"/>
    </row>
    <row r="13" spans="1:8" ht="44.4" customHeight="1" x14ac:dyDescent="0.3">
      <c r="A13" s="25"/>
      <c r="B13" s="25"/>
      <c r="C13" s="21"/>
      <c r="D13" s="25"/>
      <c r="E13" s="25"/>
      <c r="F13" s="25"/>
      <c r="G13" s="25"/>
      <c r="H13" s="22"/>
    </row>
    <row r="14" spans="1:8" ht="44.4" customHeight="1" x14ac:dyDescent="0.3">
      <c r="A14" s="25"/>
      <c r="B14" s="25"/>
      <c r="C14" s="21"/>
      <c r="D14" s="25"/>
      <c r="E14" s="25"/>
      <c r="F14" s="25"/>
      <c r="G14" s="25"/>
      <c r="H14" s="22"/>
    </row>
    <row r="15" spans="1:8" ht="44.4" customHeight="1" x14ac:dyDescent="0.3">
      <c r="A15" s="25"/>
      <c r="B15" s="25"/>
      <c r="C15" s="21"/>
      <c r="D15" s="25"/>
      <c r="E15" s="25"/>
      <c r="F15" s="25"/>
      <c r="G15" s="25"/>
      <c r="H15" s="22"/>
    </row>
    <row r="16" spans="1:8" ht="44.4" customHeight="1" x14ac:dyDescent="0.3">
      <c r="A16" s="25"/>
      <c r="B16" s="25"/>
      <c r="C16" s="21"/>
      <c r="D16" s="25"/>
      <c r="E16" s="25"/>
      <c r="F16" s="25"/>
      <c r="G16" s="25"/>
      <c r="H16" s="22"/>
    </row>
    <row r="17" spans="1:8" ht="44.4" customHeight="1" x14ac:dyDescent="0.3">
      <c r="A17" s="25"/>
      <c r="B17" s="25"/>
      <c r="C17" s="21"/>
      <c r="D17" s="25"/>
      <c r="E17" s="25"/>
      <c r="F17" s="25"/>
      <c r="G17" s="25"/>
      <c r="H17" s="22"/>
    </row>
    <row r="18" spans="1:8" ht="44.4" customHeight="1" x14ac:dyDescent="0.3">
      <c r="A18" s="25"/>
      <c r="B18" s="25"/>
      <c r="C18" s="21"/>
      <c r="D18" s="25"/>
      <c r="E18" s="25"/>
      <c r="F18" s="25"/>
      <c r="G18" s="25"/>
      <c r="H18" s="22"/>
    </row>
    <row r="19" spans="1:8" ht="44.4" customHeight="1" x14ac:dyDescent="0.3">
      <c r="A19" s="25"/>
      <c r="B19" s="25"/>
      <c r="C19" s="21"/>
      <c r="D19" s="25"/>
      <c r="E19" s="25"/>
      <c r="F19" s="25"/>
      <c r="G19" s="25"/>
      <c r="H19" s="22"/>
    </row>
    <row r="20" spans="1:8" ht="44.4" customHeight="1" x14ac:dyDescent="0.3">
      <c r="A20" s="25"/>
      <c r="B20" s="25"/>
      <c r="C20" s="21"/>
      <c r="D20" s="25"/>
      <c r="E20" s="25"/>
      <c r="F20" s="25"/>
      <c r="G20" s="25"/>
      <c r="H20" s="22"/>
    </row>
    <row r="21" spans="1:8" ht="44.4" customHeight="1" x14ac:dyDescent="0.3">
      <c r="A21" s="25"/>
      <c r="B21" s="25"/>
      <c r="C21" s="21"/>
      <c r="D21" s="25"/>
      <c r="E21" s="25"/>
      <c r="F21" s="25"/>
      <c r="G21" s="25"/>
      <c r="H21" s="22"/>
    </row>
    <row r="22" spans="1:8" ht="44.4" customHeight="1" x14ac:dyDescent="0.3">
      <c r="A22" s="25"/>
      <c r="B22" s="25"/>
      <c r="C22" s="21"/>
      <c r="D22" s="25"/>
      <c r="E22" s="25"/>
      <c r="F22" s="25"/>
      <c r="G22" s="25"/>
      <c r="H22" s="22"/>
    </row>
    <row r="23" spans="1:8" ht="44.4" customHeight="1" x14ac:dyDescent="0.3">
      <c r="A23" s="25"/>
      <c r="B23" s="25"/>
      <c r="C23" s="21"/>
      <c r="D23" s="25"/>
      <c r="E23" s="25"/>
      <c r="F23" s="25"/>
      <c r="G23" s="25"/>
      <c r="H23" s="22"/>
    </row>
    <row r="24" spans="1:8" ht="44.4" customHeight="1" x14ac:dyDescent="0.3">
      <c r="A24" s="25"/>
      <c r="B24" s="25"/>
      <c r="C24" s="21"/>
      <c r="D24" s="25"/>
      <c r="E24" s="25"/>
      <c r="F24" s="25"/>
      <c r="G24" s="25"/>
      <c r="H24" s="22"/>
    </row>
    <row r="25" spans="1:8" ht="44.4" customHeight="1" x14ac:dyDescent="0.3">
      <c r="A25" s="25"/>
      <c r="B25" s="25"/>
      <c r="C25" s="21"/>
      <c r="D25" s="25"/>
      <c r="E25" s="25"/>
      <c r="F25" s="25"/>
      <c r="G25" s="25"/>
      <c r="H25" s="22"/>
    </row>
    <row r="26" spans="1:8" ht="44.4" customHeight="1" x14ac:dyDescent="0.3">
      <c r="A26" s="25"/>
      <c r="B26" s="25"/>
      <c r="C26" s="21"/>
      <c r="D26" s="25"/>
      <c r="E26" s="25"/>
      <c r="F26" s="25"/>
      <c r="G26" s="25"/>
      <c r="H26" s="22"/>
    </row>
    <row r="27" spans="1:8" ht="44.4" customHeight="1" x14ac:dyDescent="0.3">
      <c r="A27" s="25"/>
      <c r="B27" s="25"/>
      <c r="C27" s="21"/>
      <c r="D27" s="25"/>
      <c r="E27" s="25"/>
      <c r="F27" s="25"/>
      <c r="G27" s="25"/>
      <c r="H27" s="22"/>
    </row>
    <row r="28" spans="1:8" ht="44.4" customHeight="1" x14ac:dyDescent="0.3">
      <c r="A28" s="25"/>
      <c r="B28" s="25"/>
      <c r="C28" s="21"/>
      <c r="D28" s="25"/>
      <c r="E28" s="25"/>
      <c r="F28" s="25"/>
      <c r="G28" s="25"/>
      <c r="H28" s="22"/>
    </row>
    <row r="29" spans="1:8" ht="44.4" customHeight="1" x14ac:dyDescent="0.3">
      <c r="A29" s="25"/>
      <c r="B29" s="25"/>
      <c r="C29" s="21"/>
      <c r="D29" s="25"/>
      <c r="E29" s="25"/>
      <c r="F29" s="25"/>
      <c r="G29" s="25"/>
      <c r="H29" s="22"/>
    </row>
    <row r="30" spans="1:8" ht="44.4" customHeight="1" x14ac:dyDescent="0.3">
      <c r="A30" s="25"/>
      <c r="B30" s="25"/>
      <c r="C30" s="21"/>
      <c r="D30" s="25"/>
      <c r="E30" s="25"/>
      <c r="F30" s="25"/>
      <c r="G30" s="25"/>
      <c r="H30" s="22"/>
    </row>
    <row r="31" spans="1:8" ht="44.4" customHeight="1" x14ac:dyDescent="0.3">
      <c r="A31" s="31"/>
      <c r="B31" s="31"/>
      <c r="C31" s="21"/>
      <c r="F31" s="31"/>
      <c r="G31" s="31"/>
    </row>
    <row r="32" spans="1:8" ht="44.4" customHeight="1" x14ac:dyDescent="0.3">
      <c r="A32" s="31"/>
      <c r="B32" s="31"/>
      <c r="C32" s="21"/>
      <c r="F32" s="31"/>
      <c r="G32" s="31"/>
    </row>
    <row r="33" spans="1:7" ht="44.4" customHeight="1" x14ac:dyDescent="0.3">
      <c r="A33" s="31"/>
      <c r="B33" s="31"/>
      <c r="C33" s="21"/>
      <c r="F33" s="31"/>
      <c r="G33" s="31"/>
    </row>
    <row r="34" spans="1:7" ht="44.4" customHeight="1" x14ac:dyDescent="0.3">
      <c r="C34" s="21"/>
    </row>
    <row r="35" spans="1:7" ht="44.4" customHeight="1" x14ac:dyDescent="0.3">
      <c r="C35" s="21"/>
    </row>
  </sheetData>
  <mergeCells count="8">
    <mergeCell ref="A1:G1"/>
    <mergeCell ref="D4:G4"/>
    <mergeCell ref="A7:C7"/>
    <mergeCell ref="A10:G10"/>
    <mergeCell ref="D8:G8"/>
    <mergeCell ref="A8:C8"/>
    <mergeCell ref="D2:G2"/>
    <mergeCell ref="D7:G7"/>
  </mergeCells>
  <conditionalFormatting sqref="C12:C35">
    <cfRule type="cellIs" dxfId="8" priority="4" stopIfTrue="1" operator="equal">
      <formula>"OK"</formula>
    </cfRule>
    <cfRule type="cellIs" dxfId="7" priority="5" stopIfTrue="1" operator="equal">
      <formula>"PARTIAL"</formula>
    </cfRule>
    <cfRule type="cellIs" dxfId="6" priority="6" stopIfTrue="1" operator="equal">
      <formula>"FLAG"</formula>
    </cfRule>
  </conditionalFormatting>
  <conditionalFormatting sqref="D7:G7">
    <cfRule type="containsText" dxfId="5" priority="1" operator="containsText" text="Is Compliant">
      <formula>NOT(ISERROR(SEARCH("Is Compliant",D7)))</formula>
    </cfRule>
    <cfRule type="containsText" dxfId="4" priority="2" operator="containsText" text="Need Improvement">
      <formula>NOT(ISERROR(SEARCH("Need Improvement",D7)))</formula>
    </cfRule>
    <cfRule type="containsText" dxfId="3" priority="3" operator="containsText" text="Non-Compliant">
      <formula>NOT(ISERROR(SEARCH("Non-Compliant",D7)))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14"/>
  <sheetViews>
    <sheetView zoomScale="70" zoomScaleNormal="70" workbookViewId="0">
      <pane ySplit="1" topLeftCell="A2" activePane="bottomLeft" state="frozen"/>
      <selection pane="bottomLeft" activeCell="C29" sqref="C29"/>
    </sheetView>
  </sheetViews>
  <sheetFormatPr defaultRowHeight="14.4" x14ac:dyDescent="0.3"/>
  <cols>
    <col min="1" max="1" width="22" style="19" customWidth="1"/>
    <col min="2" max="2" width="10.5546875" style="19" customWidth="1"/>
    <col min="3" max="3" width="34.21875" style="19" customWidth="1"/>
    <col min="4" max="4" width="8.44140625" style="14" customWidth="1"/>
    <col min="5" max="6" width="38" customWidth="1"/>
    <col min="7" max="7" width="52.21875" customWidth="1"/>
    <col min="8" max="10" width="47.88671875" customWidth="1"/>
    <col min="11" max="11" width="13.5546875" customWidth="1"/>
    <col min="12" max="12" width="10" customWidth="1"/>
    <col min="13" max="13" width="11.6640625" customWidth="1"/>
    <col min="14" max="14" width="22" customWidth="1"/>
    <col min="15" max="15" width="39.44140625" customWidth="1"/>
  </cols>
  <sheetData>
    <row r="1" spans="1:15" ht="28.2" customHeight="1" thickBot="1" x14ac:dyDescent="0.35">
      <c r="A1" s="5" t="s">
        <v>10</v>
      </c>
      <c r="B1" s="8" t="s">
        <v>4</v>
      </c>
      <c r="C1" s="9" t="s">
        <v>5</v>
      </c>
      <c r="D1" s="15" t="s">
        <v>11</v>
      </c>
      <c r="E1" s="9" t="s">
        <v>12</v>
      </c>
      <c r="F1" s="9" t="s">
        <v>13</v>
      </c>
      <c r="G1" s="9" t="s">
        <v>14</v>
      </c>
      <c r="H1" s="1" t="s">
        <v>7</v>
      </c>
      <c r="I1" s="1" t="s">
        <v>8</v>
      </c>
      <c r="J1" s="28" t="s">
        <v>77</v>
      </c>
      <c r="K1" s="9" t="s">
        <v>15</v>
      </c>
      <c r="L1" s="9" t="s">
        <v>9</v>
      </c>
      <c r="M1" s="9" t="s">
        <v>16</v>
      </c>
      <c r="N1" s="9" t="s">
        <v>17</v>
      </c>
      <c r="O1" s="11" t="s">
        <v>18</v>
      </c>
    </row>
    <row r="2" spans="1:15" ht="44.4" customHeight="1" thickBot="1" x14ac:dyDescent="0.35">
      <c r="A2" s="17" t="s">
        <v>170</v>
      </c>
      <c r="B2" s="6" t="s">
        <v>50</v>
      </c>
      <c r="C2" s="6" t="s">
        <v>51</v>
      </c>
      <c r="D2" s="16" t="s">
        <v>19</v>
      </c>
      <c r="E2" s="7" t="s">
        <v>56</v>
      </c>
      <c r="F2" s="7" t="s">
        <v>57</v>
      </c>
      <c r="G2" s="7" t="s">
        <v>58</v>
      </c>
      <c r="H2" s="27" t="s">
        <v>59</v>
      </c>
      <c r="I2" s="27" t="s">
        <v>60</v>
      </c>
      <c r="J2" s="27" t="s">
        <v>61</v>
      </c>
      <c r="K2" s="7" t="s">
        <v>62</v>
      </c>
      <c r="L2" s="4" t="str">
        <f>VLOOKUP(Table1[[#This Row],[Importance]],'Logic and Calculation'!$H$3:$J$12,3,FALSE)</f>
        <v>High</v>
      </c>
      <c r="M2" s="6">
        <v>8</v>
      </c>
      <c r="N2" s="4">
        <f>VLOOKUP(Table1[[#This Row],[Importance]],'Logic and Calculation'!$H$3:$J$12,2,FALSE)</f>
        <v>-13</v>
      </c>
      <c r="O2" s="12"/>
    </row>
    <row r="3" spans="1:15" ht="44.4" customHeight="1" thickBot="1" x14ac:dyDescent="0.35">
      <c r="A3" s="17" t="s">
        <v>170</v>
      </c>
      <c r="B3" s="6" t="s">
        <v>52</v>
      </c>
      <c r="C3" s="4" t="s">
        <v>53</v>
      </c>
      <c r="D3" s="16" t="s">
        <v>19</v>
      </c>
      <c r="E3" s="3" t="s">
        <v>63</v>
      </c>
      <c r="F3" s="3" t="s">
        <v>64</v>
      </c>
      <c r="G3" s="3" t="s">
        <v>65</v>
      </c>
      <c r="H3" s="27" t="s">
        <v>66</v>
      </c>
      <c r="I3" s="27" t="s">
        <v>67</v>
      </c>
      <c r="J3" s="27" t="s">
        <v>68</v>
      </c>
      <c r="K3" s="3" t="s">
        <v>69</v>
      </c>
      <c r="L3" s="4" t="str">
        <f>VLOOKUP(Table1[[#This Row],[Importance]],'Logic and Calculation'!$H$3:$J$12,3,FALSE)</f>
        <v>High</v>
      </c>
      <c r="M3" s="4">
        <v>9</v>
      </c>
      <c r="N3" s="4">
        <f>VLOOKUP(Table1[[#This Row],[Importance]],'Logic and Calculation'!$H$3:$J$12,2,FALSE)</f>
        <v>-15</v>
      </c>
      <c r="O3" s="13"/>
    </row>
    <row r="4" spans="1:15" ht="44.4" customHeight="1" x14ac:dyDescent="0.3">
      <c r="A4" s="17" t="s">
        <v>170</v>
      </c>
      <c r="B4" s="6" t="s">
        <v>54</v>
      </c>
      <c r="C4" s="4" t="s">
        <v>55</v>
      </c>
      <c r="D4" s="16" t="s">
        <v>19</v>
      </c>
      <c r="E4" s="3" t="s">
        <v>70</v>
      </c>
      <c r="F4" s="3" t="s">
        <v>71</v>
      </c>
      <c r="G4" s="3" t="s">
        <v>72</v>
      </c>
      <c r="H4" s="27" t="s">
        <v>73</v>
      </c>
      <c r="I4" s="27" t="s">
        <v>74</v>
      </c>
      <c r="J4" s="27" t="s">
        <v>75</v>
      </c>
      <c r="K4" s="3" t="s">
        <v>76</v>
      </c>
      <c r="L4" s="4" t="str">
        <f>VLOOKUP(Table1[[#This Row],[Importance]],'Logic and Calculation'!$H$3:$J$12,3,FALSE)</f>
        <v>Low</v>
      </c>
      <c r="M4" s="4">
        <v>3</v>
      </c>
      <c r="N4" s="4">
        <f>VLOOKUP(Table1[[#This Row],[Importance]],'Logic and Calculation'!$H$3:$J$12,2,FALSE)</f>
        <v>-3</v>
      </c>
      <c r="O4" s="13"/>
    </row>
    <row r="5" spans="1:15" ht="44.4" customHeight="1" x14ac:dyDescent="0.3">
      <c r="A5" s="18" t="s">
        <v>169</v>
      </c>
      <c r="B5" s="6" t="s">
        <v>78</v>
      </c>
      <c r="C5" s="4" t="s">
        <v>79</v>
      </c>
      <c r="D5" s="16" t="s">
        <v>19</v>
      </c>
      <c r="E5" s="3" t="s">
        <v>88</v>
      </c>
      <c r="F5" s="3" t="s">
        <v>89</v>
      </c>
      <c r="G5" s="3" t="s">
        <v>90</v>
      </c>
      <c r="H5" s="27" t="s">
        <v>91</v>
      </c>
      <c r="I5" s="27" t="s">
        <v>92</v>
      </c>
      <c r="J5" s="27" t="s">
        <v>93</v>
      </c>
      <c r="K5" s="3" t="s">
        <v>94</v>
      </c>
      <c r="L5" s="4" t="str">
        <f>VLOOKUP(Table1[[#This Row],[Importance]],'Logic and Calculation'!$H$3:$J$12,3,FALSE)</f>
        <v>Medium</v>
      </c>
      <c r="M5" s="4">
        <v>7</v>
      </c>
      <c r="N5" s="4">
        <f>VLOOKUP(Table1[[#This Row],[Importance]],'Logic and Calculation'!$H$3:$J$12,2,FALSE)</f>
        <v>-11</v>
      </c>
      <c r="O5" s="13"/>
    </row>
    <row r="6" spans="1:15" ht="44.4" customHeight="1" x14ac:dyDescent="0.3">
      <c r="A6" s="18" t="s">
        <v>169</v>
      </c>
      <c r="B6" s="6" t="s">
        <v>80</v>
      </c>
      <c r="C6" s="4" t="s">
        <v>81</v>
      </c>
      <c r="D6" s="16" t="s">
        <v>19</v>
      </c>
      <c r="E6" s="3" t="s">
        <v>95</v>
      </c>
      <c r="F6" s="3" t="s">
        <v>96</v>
      </c>
      <c r="G6" s="3" t="s">
        <v>97</v>
      </c>
      <c r="H6" s="27" t="s">
        <v>98</v>
      </c>
      <c r="I6" s="27" t="s">
        <v>99</v>
      </c>
      <c r="J6" s="27" t="s">
        <v>100</v>
      </c>
      <c r="K6" s="3" t="s">
        <v>101</v>
      </c>
      <c r="L6" s="4" t="str">
        <f>VLOOKUP(Table1[[#This Row],[Importance]],'Logic and Calculation'!$H$3:$J$12,3,FALSE)</f>
        <v>High</v>
      </c>
      <c r="M6" s="4">
        <v>9</v>
      </c>
      <c r="N6" s="4">
        <f>VLOOKUP(Table1[[#This Row],[Importance]],'Logic and Calculation'!$H$3:$J$12,2,FALSE)</f>
        <v>-15</v>
      </c>
      <c r="O6" s="13"/>
    </row>
    <row r="7" spans="1:15" ht="44.4" customHeight="1" x14ac:dyDescent="0.3">
      <c r="A7" s="18" t="s">
        <v>169</v>
      </c>
      <c r="B7" s="6" t="s">
        <v>82</v>
      </c>
      <c r="C7" s="4" t="s">
        <v>83</v>
      </c>
      <c r="D7" s="16" t="s">
        <v>19</v>
      </c>
      <c r="E7" s="3" t="s">
        <v>102</v>
      </c>
      <c r="F7" s="3" t="s">
        <v>103</v>
      </c>
      <c r="G7" s="3" t="s">
        <v>104</v>
      </c>
      <c r="H7" s="27" t="s">
        <v>105</v>
      </c>
      <c r="I7" s="27" t="s">
        <v>106</v>
      </c>
      <c r="J7" s="27" t="s">
        <v>107</v>
      </c>
      <c r="K7" s="3" t="s">
        <v>108</v>
      </c>
      <c r="L7" s="4" t="str">
        <f>VLOOKUP(Table1[[#This Row],[Importance]],'Logic and Calculation'!$H$3:$J$12,3,FALSE)</f>
        <v>Medium</v>
      </c>
      <c r="M7" s="4">
        <v>7</v>
      </c>
      <c r="N7" s="4">
        <f>VLOOKUP(Table1[[#This Row],[Importance]],'Logic and Calculation'!$H$3:$J$12,2,FALSE)</f>
        <v>-11</v>
      </c>
      <c r="O7" s="13"/>
    </row>
    <row r="8" spans="1:15" ht="44.4" customHeight="1" x14ac:dyDescent="0.3">
      <c r="A8" s="18" t="s">
        <v>169</v>
      </c>
      <c r="B8" s="6" t="s">
        <v>84</v>
      </c>
      <c r="C8" s="4" t="s">
        <v>85</v>
      </c>
      <c r="D8" s="16" t="s">
        <v>19</v>
      </c>
      <c r="E8" s="3" t="s">
        <v>109</v>
      </c>
      <c r="F8" s="3" t="s">
        <v>110</v>
      </c>
      <c r="G8" s="3" t="s">
        <v>111</v>
      </c>
      <c r="H8" s="27" t="s">
        <v>112</v>
      </c>
      <c r="I8" s="27" t="s">
        <v>113</v>
      </c>
      <c r="J8" s="27" t="s">
        <v>114</v>
      </c>
      <c r="K8" s="3" t="s">
        <v>108</v>
      </c>
      <c r="L8" s="4" t="str">
        <f>VLOOKUP(Table1[[#This Row],[Importance]],'Logic and Calculation'!$H$3:$J$12,3,FALSE)</f>
        <v>Medium</v>
      </c>
      <c r="M8" s="4">
        <v>6</v>
      </c>
      <c r="N8" s="4">
        <f>VLOOKUP(Table1[[#This Row],[Importance]],'Logic and Calculation'!$H$3:$J$12,2,FALSE)</f>
        <v>-9</v>
      </c>
      <c r="O8" s="13"/>
    </row>
    <row r="9" spans="1:15" ht="44.4" customHeight="1" x14ac:dyDescent="0.3">
      <c r="A9" s="18" t="s">
        <v>169</v>
      </c>
      <c r="B9" s="6" t="s">
        <v>86</v>
      </c>
      <c r="C9" s="4" t="s">
        <v>87</v>
      </c>
      <c r="D9" s="16" t="s">
        <v>19</v>
      </c>
      <c r="E9" s="3" t="s">
        <v>115</v>
      </c>
      <c r="F9" s="3" t="s">
        <v>116</v>
      </c>
      <c r="G9" s="3" t="s">
        <v>117</v>
      </c>
      <c r="H9" s="27" t="s">
        <v>118</v>
      </c>
      <c r="I9" s="27" t="s">
        <v>119</v>
      </c>
      <c r="J9" s="27" t="s">
        <v>120</v>
      </c>
      <c r="K9" s="3" t="s">
        <v>121</v>
      </c>
      <c r="L9" s="4" t="str">
        <f>VLOOKUP(Table1[[#This Row],[Importance]],'Logic and Calculation'!$H$3:$J$12,3,FALSE)</f>
        <v>Medium</v>
      </c>
      <c r="M9" s="4">
        <v>6</v>
      </c>
      <c r="N9" s="4">
        <f>VLOOKUP(Table1[[#This Row],[Importance]],'Logic and Calculation'!$H$3:$J$12,2,FALSE)</f>
        <v>-9</v>
      </c>
      <c r="O9" s="13"/>
    </row>
    <row r="10" spans="1:15" ht="44.4" customHeight="1" x14ac:dyDescent="0.3">
      <c r="A10" s="18" t="s">
        <v>168</v>
      </c>
      <c r="B10" s="6" t="s">
        <v>122</v>
      </c>
      <c r="C10" s="4" t="s">
        <v>123</v>
      </c>
      <c r="D10" s="16" t="s">
        <v>19</v>
      </c>
      <c r="E10" s="3" t="s">
        <v>126</v>
      </c>
      <c r="F10" s="3" t="s">
        <v>127</v>
      </c>
      <c r="G10" s="3" t="s">
        <v>128</v>
      </c>
      <c r="H10" s="27" t="s">
        <v>129</v>
      </c>
      <c r="I10" s="27" t="s">
        <v>130</v>
      </c>
      <c r="J10" s="27" t="s">
        <v>131</v>
      </c>
      <c r="K10" s="3" t="s">
        <v>132</v>
      </c>
      <c r="L10" s="4" t="str">
        <f>VLOOKUP(Table1[[#This Row],[Importance]],'Logic and Calculation'!$H$3:$J$12,3,FALSE)</f>
        <v>Critical</v>
      </c>
      <c r="M10" s="4">
        <v>10</v>
      </c>
      <c r="N10" s="4">
        <f>VLOOKUP(Table1[[#This Row],[Importance]],'Logic and Calculation'!$H$3:$J$12,2,FALSE)</f>
        <v>-18</v>
      </c>
      <c r="O10" s="13"/>
    </row>
    <row r="11" spans="1:15" ht="44.4" customHeight="1" x14ac:dyDescent="0.3">
      <c r="A11" s="18" t="s">
        <v>168</v>
      </c>
      <c r="B11" s="6" t="s">
        <v>124</v>
      </c>
      <c r="C11" s="4" t="s">
        <v>125</v>
      </c>
      <c r="D11" s="16" t="s">
        <v>19</v>
      </c>
      <c r="E11" s="3" t="s">
        <v>133</v>
      </c>
      <c r="F11" s="3" t="s">
        <v>134</v>
      </c>
      <c r="G11" s="3" t="s">
        <v>135</v>
      </c>
      <c r="H11" s="27" t="s">
        <v>136</v>
      </c>
      <c r="I11" s="27" t="s">
        <v>137</v>
      </c>
      <c r="J11" s="27" t="s">
        <v>138</v>
      </c>
      <c r="K11" s="3" t="s">
        <v>139</v>
      </c>
      <c r="L11" s="4" t="str">
        <f>VLOOKUP(Table1[[#This Row],[Importance]],'Logic and Calculation'!$H$3:$J$12,3,FALSE)</f>
        <v>High</v>
      </c>
      <c r="M11" s="4">
        <v>9</v>
      </c>
      <c r="N11" s="4">
        <f>VLOOKUP(Table1[[#This Row],[Importance]],'Logic and Calculation'!$H$3:$J$12,2,FALSE)</f>
        <v>-15</v>
      </c>
      <c r="O11" s="13"/>
    </row>
    <row r="12" spans="1:15" ht="44.4" customHeight="1" x14ac:dyDescent="0.3">
      <c r="A12" s="18" t="s">
        <v>167</v>
      </c>
      <c r="B12" s="6" t="s">
        <v>140</v>
      </c>
      <c r="C12" s="4" t="s">
        <v>141</v>
      </c>
      <c r="D12" s="16" t="s">
        <v>19</v>
      </c>
      <c r="E12" s="3" t="s">
        <v>146</v>
      </c>
      <c r="F12" s="3" t="s">
        <v>147</v>
      </c>
      <c r="G12" s="3" t="s">
        <v>148</v>
      </c>
      <c r="H12" s="27" t="s">
        <v>149</v>
      </c>
      <c r="I12" s="27" t="s">
        <v>150</v>
      </c>
      <c r="J12" s="27" t="s">
        <v>151</v>
      </c>
      <c r="K12" s="3" t="s">
        <v>152</v>
      </c>
      <c r="L12" s="4" t="str">
        <f>VLOOKUP(Table1[[#This Row],[Importance]],'Logic and Calculation'!$H$3:$J$12,3,FALSE)</f>
        <v>Medium</v>
      </c>
      <c r="M12" s="4">
        <v>5</v>
      </c>
      <c r="N12" s="4">
        <f>VLOOKUP(Table1[[#This Row],[Importance]],'Logic and Calculation'!$H$3:$J$12,2,FALSE)</f>
        <v>-7</v>
      </c>
      <c r="O12" s="13"/>
    </row>
    <row r="13" spans="1:15" ht="44.4" customHeight="1" x14ac:dyDescent="0.3">
      <c r="A13" s="18" t="s">
        <v>167</v>
      </c>
      <c r="B13" s="6" t="s">
        <v>142</v>
      </c>
      <c r="C13" s="4" t="s">
        <v>143</v>
      </c>
      <c r="D13" s="16" t="s">
        <v>19</v>
      </c>
      <c r="E13" s="3" t="s">
        <v>153</v>
      </c>
      <c r="F13" s="3" t="s">
        <v>154</v>
      </c>
      <c r="G13" s="3" t="s">
        <v>155</v>
      </c>
      <c r="H13" s="27" t="s">
        <v>156</v>
      </c>
      <c r="I13" s="27" t="s">
        <v>157</v>
      </c>
      <c r="J13" s="27" t="s">
        <v>158</v>
      </c>
      <c r="K13" s="3" t="s">
        <v>159</v>
      </c>
      <c r="L13" s="4" t="str">
        <f>VLOOKUP(Table1[[#This Row],[Importance]],'Logic and Calculation'!$H$3:$J$12,3,FALSE)</f>
        <v>Low</v>
      </c>
      <c r="M13" s="4">
        <v>4</v>
      </c>
      <c r="N13" s="4">
        <f>VLOOKUP(Table1[[#This Row],[Importance]],'Logic and Calculation'!$H$3:$J$12,2,FALSE)</f>
        <v>-5</v>
      </c>
      <c r="O13" s="13"/>
    </row>
    <row r="14" spans="1:15" ht="44.4" customHeight="1" x14ac:dyDescent="0.3">
      <c r="A14" s="18" t="s">
        <v>167</v>
      </c>
      <c r="B14" s="6" t="s">
        <v>144</v>
      </c>
      <c r="C14" s="4" t="s">
        <v>145</v>
      </c>
      <c r="D14" s="16" t="s">
        <v>19</v>
      </c>
      <c r="E14" s="3" t="s">
        <v>160</v>
      </c>
      <c r="F14" s="3" t="s">
        <v>161</v>
      </c>
      <c r="G14" s="3" t="s">
        <v>162</v>
      </c>
      <c r="H14" s="27" t="s">
        <v>163</v>
      </c>
      <c r="I14" s="27" t="s">
        <v>164</v>
      </c>
      <c r="J14" s="27" t="s">
        <v>165</v>
      </c>
      <c r="K14" s="3" t="s">
        <v>166</v>
      </c>
      <c r="L14" s="4" t="str">
        <f>VLOOKUP(Table1[[#This Row],[Importance]],'Logic and Calculation'!$H$3:$J$12,3,FALSE)</f>
        <v>Low</v>
      </c>
      <c r="M14" s="4">
        <v>4</v>
      </c>
      <c r="N14" s="4">
        <f>VLOOKUP(Table1[[#This Row],[Importance]],'Logic and Calculation'!$H$3:$J$12,2,FALSE)</f>
        <v>-5</v>
      </c>
      <c r="O14" s="13"/>
    </row>
  </sheetData>
  <phoneticPr fontId="10" type="noConversion"/>
  <conditionalFormatting sqref="D2:D14">
    <cfRule type="cellIs" dxfId="2" priority="4" stopIfTrue="1" operator="equal">
      <formula>"OK"</formula>
    </cfRule>
    <cfRule type="cellIs" dxfId="1" priority="5" stopIfTrue="1" operator="equal">
      <formula>"PARTIAL"</formula>
    </cfRule>
    <cfRule type="cellIs" dxfId="0" priority="6" stopIfTrue="1" operator="equal">
      <formula>"FLAG"</formula>
    </cfRule>
  </conditionalFormatting>
  <dataValidations count="1">
    <dataValidation type="list" allowBlank="1" sqref="D2:D14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20"/>
  <sheetViews>
    <sheetView workbookViewId="0">
      <pane ySplit="7" topLeftCell="A8" activePane="bottomLeft" state="frozen"/>
      <selection pane="bottomLeft" activeCell="C39" sqref="C39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4</v>
      </c>
      <c r="B1" s="2" t="s">
        <v>10</v>
      </c>
      <c r="C1" s="2" t="s">
        <v>5</v>
      </c>
      <c r="D1" s="2" t="s">
        <v>11</v>
      </c>
      <c r="E1" s="2" t="s">
        <v>17</v>
      </c>
      <c r="F1" s="2" t="s">
        <v>21</v>
      </c>
    </row>
    <row r="2" spans="1:13" x14ac:dyDescent="0.3">
      <c r="A2" t="s">
        <v>22</v>
      </c>
      <c r="B2">
        <v>100</v>
      </c>
      <c r="D2" t="s">
        <v>23</v>
      </c>
      <c r="H2" s="10" t="s">
        <v>16</v>
      </c>
      <c r="I2" s="10" t="s">
        <v>24</v>
      </c>
      <c r="J2" s="10" t="s">
        <v>25</v>
      </c>
      <c r="L2" s="26" t="s">
        <v>1</v>
      </c>
      <c r="M2" s="26" t="s">
        <v>26</v>
      </c>
    </row>
    <row r="3" spans="1:13" x14ac:dyDescent="0.3">
      <c r="A3" t="s">
        <v>27</v>
      </c>
      <c r="B3">
        <f>SUM(F8:F955)</f>
        <v>0</v>
      </c>
      <c r="D3" t="s">
        <v>48</v>
      </c>
      <c r="H3">
        <v>10</v>
      </c>
      <c r="I3">
        <v>-18</v>
      </c>
      <c r="J3" t="s">
        <v>28</v>
      </c>
      <c r="L3" t="s">
        <v>42</v>
      </c>
      <c r="M3" t="s">
        <v>29</v>
      </c>
    </row>
    <row r="4" spans="1:13" x14ac:dyDescent="0.3">
      <c r="A4" t="s">
        <v>30</v>
      </c>
      <c r="B4">
        <f>B2+B3</f>
        <v>100</v>
      </c>
      <c r="D4" t="s">
        <v>31</v>
      </c>
      <c r="H4">
        <v>9</v>
      </c>
      <c r="I4">
        <v>-15</v>
      </c>
      <c r="J4" t="s">
        <v>32</v>
      </c>
      <c r="L4" t="s">
        <v>33</v>
      </c>
      <c r="M4" t="s">
        <v>34</v>
      </c>
    </row>
    <row r="5" spans="1:13" x14ac:dyDescent="0.3">
      <c r="A5" t="s">
        <v>1</v>
      </c>
      <c r="B5" t="str">
        <f>IF(B4&gt;=75,"Is Compliant",IF(AND(B4&lt;=74,B4&gt;=40),"Need Improvement","Non-Compliant"))</f>
        <v>Is Compliant</v>
      </c>
      <c r="D5" t="s">
        <v>35</v>
      </c>
      <c r="H5">
        <v>8</v>
      </c>
      <c r="I5">
        <v>-13</v>
      </c>
      <c r="J5" t="s">
        <v>32</v>
      </c>
      <c r="L5" t="s">
        <v>36</v>
      </c>
      <c r="M5" t="s">
        <v>37</v>
      </c>
    </row>
    <row r="6" spans="1:13" x14ac:dyDescent="0.3">
      <c r="A6" t="s">
        <v>38</v>
      </c>
      <c r="B6" t="s">
        <v>39</v>
      </c>
      <c r="H6">
        <v>7</v>
      </c>
      <c r="I6">
        <v>-11</v>
      </c>
      <c r="J6" t="s">
        <v>20</v>
      </c>
    </row>
    <row r="7" spans="1:13" x14ac:dyDescent="0.3">
      <c r="H7">
        <v>6</v>
      </c>
      <c r="I7">
        <v>-9</v>
      </c>
      <c r="J7" t="s">
        <v>20</v>
      </c>
    </row>
    <row r="8" spans="1:13" x14ac:dyDescent="0.3">
      <c r="A8" t="str">
        <f>Framework_Reference!B2</f>
        <v>F001</v>
      </c>
      <c r="B8" t="str">
        <f>Framework_Reference!A2</f>
        <v>ORDER LEVEL</v>
      </c>
      <c r="C8" t="str">
        <f>Framework_Reference!C2</f>
        <v>Order Naming Convention</v>
      </c>
      <c r="D8" t="str">
        <f>Framework_Reference!D2</f>
        <v>OK</v>
      </c>
      <c r="E8">
        <f>Framework_Reference!N2</f>
        <v>-13</v>
      </c>
      <c r="F8">
        <f t="shared" ref="F8" si="0">IF(D8="FLAG",E8,IF(D8="PARTIAL",E8*0.5,0))</f>
        <v>0</v>
      </c>
      <c r="H8">
        <v>5</v>
      </c>
      <c r="I8">
        <v>-7</v>
      </c>
      <c r="J8" t="s">
        <v>20</v>
      </c>
    </row>
    <row r="9" spans="1:13" x14ac:dyDescent="0.3">
      <c r="A9" t="str">
        <f>Framework_Reference!B3</f>
        <v>F002</v>
      </c>
      <c r="B9" t="str">
        <f>Framework_Reference!A3</f>
        <v>ORDER LEVEL</v>
      </c>
      <c r="C9" t="str">
        <f>Framework_Reference!C3</f>
        <v>Order Goal / KPI Alignment</v>
      </c>
      <c r="D9" t="str">
        <f>Framework_Reference!D3</f>
        <v>OK</v>
      </c>
      <c r="E9">
        <f>Framework_Reference!N3</f>
        <v>-15</v>
      </c>
      <c r="F9">
        <f t="shared" ref="F9:F20" si="1">IF(D9="FLAG",E9,IF(D9="PARTIAL",E9*0.5,0))</f>
        <v>0</v>
      </c>
      <c r="H9">
        <v>4</v>
      </c>
      <c r="I9">
        <v>-5</v>
      </c>
      <c r="J9" t="s">
        <v>40</v>
      </c>
    </row>
    <row r="10" spans="1:13" x14ac:dyDescent="0.3">
      <c r="A10" t="str">
        <f>Framework_Reference!B4</f>
        <v>F003</v>
      </c>
      <c r="B10" t="str">
        <f>Framework_Reference!A4</f>
        <v>ORDER LEVEL</v>
      </c>
      <c r="C10" t="str">
        <f>Framework_Reference!C4</f>
        <v>Agency Fee Correctly Applied</v>
      </c>
      <c r="D10" t="str">
        <f>Framework_Reference!D4</f>
        <v>OK</v>
      </c>
      <c r="E10">
        <f>Framework_Reference!N4</f>
        <v>-3</v>
      </c>
      <c r="F10">
        <f t="shared" si="1"/>
        <v>0</v>
      </c>
      <c r="H10">
        <v>3</v>
      </c>
      <c r="I10">
        <v>-3</v>
      </c>
      <c r="J10" t="s">
        <v>40</v>
      </c>
    </row>
    <row r="11" spans="1:13" x14ac:dyDescent="0.3">
      <c r="A11" t="str">
        <f>Framework_Reference!B5</f>
        <v>F004</v>
      </c>
      <c r="B11" t="str">
        <f>Framework_Reference!A5</f>
        <v>LINE ITEM LEVEL</v>
      </c>
      <c r="C11" t="str">
        <f>Framework_Reference!C5</f>
        <v>Line Item Naming Convention</v>
      </c>
      <c r="D11" t="str">
        <f>Framework_Reference!D5</f>
        <v>OK</v>
      </c>
      <c r="E11">
        <f>Framework_Reference!N5</f>
        <v>-11</v>
      </c>
      <c r="F11">
        <f t="shared" si="1"/>
        <v>0</v>
      </c>
      <c r="H11">
        <v>2</v>
      </c>
      <c r="I11">
        <v>-2</v>
      </c>
      <c r="J11" t="s">
        <v>41</v>
      </c>
    </row>
    <row r="12" spans="1:13" x14ac:dyDescent="0.3">
      <c r="A12" t="str">
        <f>Framework_Reference!B6</f>
        <v>F005</v>
      </c>
      <c r="B12" t="str">
        <f>Framework_Reference!A6</f>
        <v>LINE ITEM LEVEL</v>
      </c>
      <c r="C12" t="str">
        <f>Framework_Reference!C6</f>
        <v>Audience / Contextual Targeting Aligned</v>
      </c>
      <c r="D12" t="str">
        <f>Framework_Reference!D6</f>
        <v>OK</v>
      </c>
      <c r="E12">
        <f>Framework_Reference!N6</f>
        <v>-15</v>
      </c>
      <c r="F12">
        <f t="shared" si="1"/>
        <v>0</v>
      </c>
      <c r="H12">
        <v>1</v>
      </c>
      <c r="I12">
        <v>-1</v>
      </c>
      <c r="J12" t="s">
        <v>41</v>
      </c>
    </row>
    <row r="13" spans="1:13" x14ac:dyDescent="0.3">
      <c r="A13" t="str">
        <f>Framework_Reference!B7</f>
        <v>F006</v>
      </c>
      <c r="B13" t="str">
        <f>Framework_Reference!A7</f>
        <v>LINE ITEM LEVEL</v>
      </c>
      <c r="C13" t="str">
        <f>Framework_Reference!C7</f>
        <v>Frequency Cap Set (1–5)</v>
      </c>
      <c r="D13" t="str">
        <f>Framework_Reference!D7</f>
        <v>OK</v>
      </c>
      <c r="E13">
        <f>Framework_Reference!N7</f>
        <v>-11</v>
      </c>
      <c r="F13">
        <f t="shared" si="1"/>
        <v>0</v>
      </c>
    </row>
    <row r="14" spans="1:13" x14ac:dyDescent="0.3">
      <c r="A14" t="str">
        <f>Framework_Reference!B8</f>
        <v>F007</v>
      </c>
      <c r="B14" t="str">
        <f>Framework_Reference!A8</f>
        <v>LINE ITEM LEVEL</v>
      </c>
      <c r="C14" t="str">
        <f>Framework_Reference!C8</f>
        <v>Viewability Setting Optimized</v>
      </c>
      <c r="D14" t="str">
        <f>Framework_Reference!D8</f>
        <v>OK</v>
      </c>
      <c r="E14">
        <f>Framework_Reference!N8</f>
        <v>-9</v>
      </c>
      <c r="F14">
        <f t="shared" si="1"/>
        <v>0</v>
      </c>
    </row>
    <row r="15" spans="1:13" x14ac:dyDescent="0.3">
      <c r="A15" t="str">
        <f>Framework_Reference!B9</f>
        <v>F008</v>
      </c>
      <c r="B15" t="str">
        <f>Framework_Reference!A9</f>
        <v>LINE ITEM LEVEL</v>
      </c>
      <c r="C15" t="str">
        <f>Framework_Reference!C9</f>
        <v>Device Targeting Matches Strategy</v>
      </c>
      <c r="D15" t="str">
        <f>Framework_Reference!D9</f>
        <v>OK</v>
      </c>
      <c r="E15">
        <f>Framework_Reference!N9</f>
        <v>-9</v>
      </c>
      <c r="F15">
        <f t="shared" si="1"/>
        <v>0</v>
      </c>
    </row>
    <row r="16" spans="1:13" x14ac:dyDescent="0.3">
      <c r="A16" t="str">
        <f>Framework_Reference!B10</f>
        <v>F009</v>
      </c>
      <c r="B16" t="str">
        <f>Framework_Reference!A10</f>
        <v>ACCOUNT SETUP</v>
      </c>
      <c r="C16" t="str">
        <f>Framework_Reference!C10</f>
        <v>Merchant Token (PPC &amp; DSP Overlap Tag)</v>
      </c>
      <c r="D16" t="str">
        <f>Framework_Reference!D10</f>
        <v>OK</v>
      </c>
      <c r="E16">
        <f>Framework_Reference!N10</f>
        <v>-18</v>
      </c>
      <c r="F16">
        <f t="shared" si="1"/>
        <v>0</v>
      </c>
    </row>
    <row r="17" spans="1:6" x14ac:dyDescent="0.3">
      <c r="A17" t="str">
        <f>Framework_Reference!B11</f>
        <v>F010</v>
      </c>
      <c r="B17" t="str">
        <f>Framework_Reference!A11</f>
        <v>ACCOUNT SETUP</v>
      </c>
      <c r="C17" t="str">
        <f>Framework_Reference!C11</f>
        <v>AMC Entity Connected</v>
      </c>
      <c r="D17" t="str">
        <f>Framework_Reference!D11</f>
        <v>OK</v>
      </c>
      <c r="E17">
        <f>Framework_Reference!N11</f>
        <v>-15</v>
      </c>
      <c r="F17">
        <f t="shared" si="1"/>
        <v>0</v>
      </c>
    </row>
    <row r="18" spans="1:6" x14ac:dyDescent="0.3">
      <c r="A18" t="str">
        <f>Framework_Reference!B12</f>
        <v>F011</v>
      </c>
      <c r="B18" t="str">
        <f>Framework_Reference!A12</f>
        <v>DELIVERY &amp; PACING</v>
      </c>
      <c r="C18" t="str">
        <f>Framework_Reference!C12</f>
        <v>All Active Orders Delivering</v>
      </c>
      <c r="D18" t="str">
        <f>Framework_Reference!D12</f>
        <v>OK</v>
      </c>
      <c r="E18">
        <f>Framework_Reference!N12</f>
        <v>-7</v>
      </c>
      <c r="F18">
        <f t="shared" si="1"/>
        <v>0</v>
      </c>
    </row>
    <row r="19" spans="1:6" x14ac:dyDescent="0.3">
      <c r="A19" t="str">
        <f>Framework_Reference!B13</f>
        <v>F012</v>
      </c>
      <c r="B19" t="str">
        <f>Framework_Reference!A13</f>
        <v>DELIVERY &amp; PACING</v>
      </c>
      <c r="C19" t="str">
        <f>Framework_Reference!C13</f>
        <v>Line Item Delivery Balanced Across Orders</v>
      </c>
      <c r="D19" t="str">
        <f>Framework_Reference!D13</f>
        <v>OK</v>
      </c>
      <c r="E19">
        <f>Framework_Reference!N13</f>
        <v>-5</v>
      </c>
      <c r="F19">
        <f t="shared" si="1"/>
        <v>0</v>
      </c>
    </row>
    <row r="20" spans="1:6" x14ac:dyDescent="0.3">
      <c r="A20" t="str">
        <f>Framework_Reference!B14</f>
        <v>F013</v>
      </c>
      <c r="B20" t="str">
        <f>Framework_Reference!A14</f>
        <v>DELIVERY &amp; PACING</v>
      </c>
      <c r="C20" t="str">
        <f>Framework_Reference!C14</f>
        <v>Add to Cart Rate Healthy (≥ 5% of DPV)</v>
      </c>
      <c r="D20" t="str">
        <f>Framework_Reference!D14</f>
        <v>OK</v>
      </c>
      <c r="E20">
        <f>Framework_Reference!N14</f>
        <v>-5</v>
      </c>
      <c r="F20">
        <f t="shared" si="1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Framework_Analysis</vt:lpstr>
      <vt:lpstr>Framework_Reference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2026-05-01T19:32:44Z</dcterms:modified>
</cp:coreProperties>
</file>