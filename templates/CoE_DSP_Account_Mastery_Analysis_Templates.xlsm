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DSP FULL ANALYSIS/AGENT MASTERY SCORE/"/>
    </mc:Choice>
  </mc:AlternateContent>
  <xr:revisionPtr revIDLastSave="271" documentId="8_{070950E3-E89F-4947-8F13-1A3D60E112EC}" xr6:coauthVersionLast="47" xr6:coauthVersionMax="47" xr10:uidLastSave="{8786C1DF-D049-46CF-A1E0-E2BBD99027F5}"/>
  <bookViews>
    <workbookView xWindow="-28920" yWindow="-15" windowWidth="29040" windowHeight="15720" activeTab="1" xr2:uid="{00000000-000D-0000-FFFF-FFFF00000000}"/>
  </bookViews>
  <sheets>
    <sheet name="Account Mastery_Analysis" sheetId="1" r:id="rId1"/>
    <sheet name="Account Mastery_Reference" sheetId="2" r:id="rId2"/>
    <sheet name="Logic and Calculation" sheetId="3" r:id="rId3"/>
  </sheets>
  <definedNames>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hat" hidden="1" xlm="1">#NAME?</definedName>
    <definedName name="_xlpm.why" hidden="1" xlm="1">#NAME?</definedName>
    <definedName name="_xlpm.wysd" hidden="1" xlm="1">#NAME?</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2" l="1"/>
  <c r="L4" i="2"/>
  <c r="L5" i="2"/>
  <c r="L6" i="2"/>
  <c r="L7" i="2"/>
  <c r="L8" i="2"/>
  <c r="L9" i="2"/>
  <c r="L10" i="2"/>
  <c r="N3" i="2"/>
  <c r="E9" i="3" s="1"/>
  <c r="N4" i="2"/>
  <c r="E10" i="3" s="1"/>
  <c r="N5" i="2"/>
  <c r="E11" i="3" s="1"/>
  <c r="N6" i="2"/>
  <c r="E12" i="3" s="1"/>
  <c r="N7" i="2"/>
  <c r="E13" i="3" s="1"/>
  <c r="N8" i="2"/>
  <c r="E14" i="3" s="1"/>
  <c r="N9" i="2"/>
  <c r="E15" i="3" s="1"/>
  <c r="N10" i="2"/>
  <c r="E16" i="3" s="1"/>
  <c r="D9" i="3"/>
  <c r="F9" i="3" s="1"/>
  <c r="D10" i="3"/>
  <c r="F10" i="3" s="1"/>
  <c r="D11" i="3"/>
  <c r="F11" i="3" s="1"/>
  <c r="D12" i="3"/>
  <c r="F12" i="3" s="1"/>
  <c r="D13" i="3"/>
  <c r="F13" i="3" s="1"/>
  <c r="D14" i="3"/>
  <c r="F14" i="3" s="1"/>
  <c r="D15" i="3"/>
  <c r="F15" i="3" s="1"/>
  <c r="D16" i="3"/>
  <c r="F16" i="3" s="1"/>
  <c r="A12" i="3"/>
  <c r="B12" i="3"/>
  <c r="C12" i="3"/>
  <c r="A13" i="3"/>
  <c r="B13" i="3"/>
  <c r="C13" i="3"/>
  <c r="A14" i="3"/>
  <c r="B14" i="3"/>
  <c r="C14" i="3"/>
  <c r="A15" i="3"/>
  <c r="B15" i="3"/>
  <c r="C15" i="3"/>
  <c r="A16" i="3"/>
  <c r="B16" i="3"/>
  <c r="C16" i="3"/>
  <c r="L2" i="2"/>
  <c r="C11" i="3"/>
  <c r="B11" i="3"/>
  <c r="A11" i="3"/>
  <c r="C10" i="3"/>
  <c r="B10" i="3"/>
  <c r="A10" i="3"/>
  <c r="C9" i="3"/>
  <c r="B9" i="3"/>
  <c r="A9" i="3"/>
  <c r="D8" i="3"/>
  <c r="C8" i="3"/>
  <c r="B8" i="3"/>
  <c r="A8" i="3"/>
  <c r="N2" i="2"/>
  <c r="E8" i="3" s="1"/>
  <c r="A12" i="1" l="1" a="1"/>
  <c r="A12" i="1" s="1"/>
  <c r="F8" i="3"/>
  <c r="B3" i="3" l="1"/>
  <c r="B4" i="3" s="1"/>
  <c r="B5" i="3" s="1"/>
  <c r="D7" i="1" s="1"/>
  <c r="D8" i="1" s="1" a="1"/>
  <c r="D8"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<sst xmlns="http://schemas.openxmlformats.org/spreadsheetml/2006/main" count="169" uniqueCount="135">
  <si>
    <t>Interpretation</t>
  </si>
  <si>
    <t>Key Findings (Prioritized) — include all FLAG / PARTIAL controls (no max items)</t>
  </si>
  <si>
    <t>Control ID</t>
  </si>
  <si>
    <t>Control Name</t>
  </si>
  <si>
    <t>Status</t>
  </si>
  <si>
    <t>What We Saw</t>
  </si>
  <si>
    <t>Why It Matters</t>
  </si>
  <si>
    <t>Impact</t>
  </si>
  <si>
    <t>Block</t>
  </si>
  <si>
    <t>STATUS</t>
  </si>
  <si>
    <t>What</t>
  </si>
  <si>
    <t>Why</t>
  </si>
  <si>
    <t>How</t>
  </si>
  <si>
    <t>Data Source</t>
  </si>
  <si>
    <t>Importance</t>
  </si>
  <si>
    <t>Priority</t>
  </si>
  <si>
    <t>Notes/Intent</t>
  </si>
  <si>
    <t>OK</t>
  </si>
  <si>
    <t>Medium</t>
  </si>
  <si>
    <t>Penalty Applied</t>
  </si>
  <si>
    <t>Start Score</t>
  </si>
  <si>
    <t>Bands</t>
  </si>
  <si>
    <t>Priority (Points Lost)</t>
  </si>
  <si>
    <t>Impact Magnitude</t>
  </si>
  <si>
    <t xml:space="preserve">Interpretation </t>
  </si>
  <si>
    <t>Total Penalty</t>
  </si>
  <si>
    <t>Critical</t>
  </si>
  <si>
    <t>Final Score</t>
  </si>
  <si>
    <t>High</t>
  </si>
  <si>
    <t>Partial weighting</t>
  </si>
  <si>
    <t>PARTIAL uses 50% of Priority</t>
  </si>
  <si>
    <t>Low</t>
  </si>
  <si>
    <t>Visibility</t>
  </si>
  <si>
    <t xml:space="preserve">Evaluation Window &gt; </t>
  </si>
  <si>
    <t>Account &gt;</t>
  </si>
  <si>
    <t>Account: 9B2AD3 - US - Greestone - seller | Tenant ID: 69ece8e2-28ed-4919-a7a7-b81ede84d5d5 | Account ID: 1425191550341661</t>
  </si>
  <si>
    <t>2025-12-31 to 2026-01-30 (30 days)</t>
  </si>
  <si>
    <t xml:space="preserve">Download Date &gt; </t>
  </si>
  <si>
    <t>Needs Attention</t>
  </si>
  <si>
    <t>40–&lt;75 = Needs Attention</t>
  </si>
  <si>
    <t>53588A - US - ZooPro — Account Mastery Analysis</t>
  </si>
  <si>
    <t>Mastery Grade</t>
  </si>
  <si>
    <t xml:space="preserve">Mastery Version &gt; </t>
  </si>
  <si>
    <t>The account owner demonstrates a clear understanding of the client objective, account dynamics, and strategic roadmap. Documentation and client communication are consistent, enabling confident strategic decision-making and effective collaboration with CoE.</t>
  </si>
  <si>
    <t>Key elements of the account narrative or strategic context are partially documented or lack clarity. Additional alignment between Salesforce documentation, client discussions, and account strategy is recommended to strengthen account ownership.</t>
  </si>
  <si>
    <t>Not Compliant</t>
  </si>
  <si>
    <t>75–100 = Compliant</t>
  </si>
  <si>
    <t>&lt;40 = Not Compliant</t>
  </si>
  <si>
    <t>Key mastery signals are missing or inconsistent, which limits confidence in account ownership and account-story accuracy.</t>
  </si>
  <si>
    <t xml:space="preserve">Compliant </t>
  </si>
  <si>
    <t>DSP v1.0</t>
  </si>
  <si>
    <t xml:space="preserve">What You Should Do </t>
  </si>
  <si>
    <t>CLIENT DOCUMENTATION</t>
  </si>
  <si>
    <t>M001</t>
  </si>
  <si>
    <t>Clear Objective Documented</t>
  </si>
  <si>
    <t>M002</t>
  </si>
  <si>
    <t>ROAS / Efficiency Target Documented</t>
  </si>
  <si>
    <t>M003</t>
  </si>
  <si>
    <t>Daily Spend Target Set</t>
  </si>
  <si>
    <t>M004</t>
  </si>
  <si>
    <t>Client Success Plan Completed</t>
  </si>
  <si>
    <t>M005</t>
  </si>
  <si>
    <t>Client Journey Map Completed</t>
  </si>
  <si>
    <t>M006</t>
  </si>
  <si>
    <t>Account Risk Status Up to Date</t>
  </si>
  <si>
    <t>Verify that the short, mid, and long-term DSP objective is written and accessible in Salesforce — in CS Notes or the DSP Project record.</t>
  </si>
  <si>
    <t>Without a documented objective, the CoE cannot design a strategy that fits the client's actual timeline and business goals. Reviews become generic instead of targeted.</t>
  </si>
  <si>
    <t>Pull 14_DSP_Project_on_SF and check CS_Notes__c and Target_ROAS__c for a clear DSP objective. The objective must state what success looks like and over what timeframe. Flag if empty, vague, or missing a measurable goal.</t>
  </si>
  <si>
    <t>Objective status in Salesforce: {objective_status}. CS Notes extract: {cs_notes_summary}. Target ROAS documented: {target_roas}.</t>
  </si>
  <si>
    <t>An account without a documented objective will be optimized toward the last thing someone mentioned in a call. That is not strategy — it is reactive management that erodes client confidence.</t>
  </si>
  <si>
    <t>Write the DSP objective in CS Notes using this structure: [Primary goal] + [KPI target] + [timeframe]. Example: Grow NTB customer base by 20% in Q3 while maintaining Total ROAS above 3.5x.</t>
  </si>
  <si>
    <t>14_DSP_Project_on_SF · CS_Notes__c + Target_ROAS__c</t>
  </si>
  <si>
    <t>Verify that a Target Total ROAS is explicitly set in the DSP Project record in Salesforce.</t>
  </si>
  <si>
    <t>Without an efficiency target, the account has no guardrail. Optimization decisions default to gut feel and there is no basis for performance evaluation.</t>
  </si>
  <si>
    <t>Pull 14_DSP_Project_on_SF and check Target_ROAS__c. Confirm the value is numeric, non-zero, and plausible given the funnel strategy. Flag if missing or clearly outdated.</t>
  </si>
  <si>
    <t>Target ROAS in Salesforce: {target_roas}. Current account ROAS: {current_roas}. Gap between target and actual: {roas_gap}.</t>
  </si>
  <si>
    <t>Without a documented ROAS target, the client and team have no shared definition of what good looks like. Any ROAS becomes acceptable by default, which means underperformance can persist without being flagged.</t>
  </si>
  <si>
    <t>Set Target_ROAS__c in the DSP Project record to the agreed efficiency target. If the client has not set a target, propose one based on historical performance and document it in CS Notes.</t>
  </si>
  <si>
    <t>14_DSP_Project_on_SF · Target_ROAS__c</t>
  </si>
  <si>
    <t>Verify that the daily spend target in the DSP Project record reflects the agreed monthly budget divided by active campaign days.</t>
  </si>
  <si>
    <t>Gaps between the daily target and actual spend are the earliest signal that delivery or pacing is off track. Without this field populated, the signal is invisible.</t>
  </si>
  <si>
    <t>Pull 14_DSP_Project_on_SF and check daily_target_spend__c. Compare against actual L30 daily average spend from 02_DSP_Date_Range_KPIs. Flag if the field is empty or if actual spend deviates more than 15% from target.</t>
  </si>
  <si>
    <t>Daily spend target in Salesforce: {daily_target}. Actual L30 average daily spend: {actual_daily_avg}. Deviation: {spend_deviation}%.</t>
  </si>
  <si>
    <t>An empty or inaccurate daily target means pacing issues go undetected until the end of the month. At that point, the options are overspend or a gap in coverage — both of which are avoidable.</t>
  </si>
  <si>
    <t>Update daily_target_spend__c in the DSP Project record to match [Monthly Budget / Active Days]. Set a recurring reminder to update this at the start of each new month.</t>
  </si>
  <si>
    <t>14_DSP_Project_on_SF · daily_target_spend__c</t>
  </si>
  <si>
    <t>Verify that the Client Success Plan in Salesforce covers the objective, current challenges, strategy, and near-term priorities.</t>
  </si>
  <si>
    <t>An incomplete CSP means strategy decisions are not documented. Handovers become unreliable and the CoE review cannot use internal documentation as a reference.</t>
  </si>
  <si>
    <t>Pull 13_Client_Success_Insights and review Primary_Objective__c, Current_Challenges__c, and Near_Term_3_Month_Considerations__c. Flag if any of these fields are empty, generic, or last updated more than 60 days ago.</t>
  </si>
  <si>
    <t>CSP completeness status: Objective — {csp_objective_status}. Challenges — {csp_challenges_status}. Near-term plan — {csp_nearterm_status}. Last updated: {csp_last_updated}.</t>
  </si>
  <si>
    <t>A CSP that is incomplete or stale is not a CSP — it is a form that was filled out once and forgotten. When the CSP does not reflect reality, the whole account narrative breaks down during a review.</t>
  </si>
  <si>
    <t>Complete all three CSP fields with specific, current information. Objective should include a measurable KPI. Challenges should name real blockers. Near-term plan should include at least one action with a timeline.</t>
  </si>
  <si>
    <t>13_Client_Success_Insights · Primary_Objective__c / Current_Challenges__c / Near_Term_3_Month_Considerations__c</t>
  </si>
  <si>
    <t>Verify that the Client Journey Map stage is filled in Salesforce and reflects where the client is in their current lifecycle.</t>
  </si>
  <si>
    <t>Without a Journey Map stage, the team may apply a scaling strategy to a client in a retention phase — the wrong framework applied to the wrong situation.</t>
  </si>
  <si>
    <t>Pull 12_Client_Journey_Insights and review StatusS1–S4 and StrategyS1–S4 fields. Confirm the current stage is selected and that the documented strategy aligns with that stage.</t>
  </si>
  <si>
    <t>Client Journey stage: {journey_stage}. Strategy documented for this stage: {journey_strategy_summary}.</t>
  </si>
  <si>
    <t>The Journey Map is what tells the team whether to push growth or protect retention. Without it, strategy decisions are made without a framework, leading to inconsistent execution across the account lifecycle.</t>
  </si>
  <si>
    <t>Set the correct Journey Map stage in Salesforce. If the client is between stages, document the transition rationale in CS Notes and flag it in the next QBR plan.</t>
  </si>
  <si>
    <t>12_Client_Journey_Insights · StatusS1–S4 / StrategyS1–S4</t>
  </si>
  <si>
    <t>Verify that the At Risk flag and risk reason notes in the DSP Project accurately reflect the current account situation.</t>
  </si>
  <si>
    <t>A stale or missing risk flag means leadership cannot identify which accounts need immediate attention during weekly reviews.</t>
  </si>
  <si>
    <t>Pull 14_DSP_Project_on_SF and check At_Risk__c and Risk_Reason_Notes__c. If At_Risk__c is True, confirm the notes explain the specific reason and are current. If False, verify that there are no signals that contradict the clean status.</t>
  </si>
  <si>
    <t>At Risk flag: {at_risk_flag}. Risk notes: {risk_notes_summary}. Consistency with current performance: {risk_status_consistency}.</t>
  </si>
  <si>
    <t>An outdated risk flag in either direction is harmful. A false clean status means a struggling account gets no attention. A stale red flag creates unnecessary urgency for an account that already recovered.</t>
  </si>
  <si>
    <t>Update At_Risk__c and Risk_Reason_Notes__c to reflect the current state of the account. If at risk, include the specific reason, when it started, and what action is being taken.</t>
  </si>
  <si>
    <t>14_DSP_Project_on_SF · At_Risk__c + Risk_Reason_Notes__c</t>
  </si>
  <si>
    <t>ACCOUNT MANAGEMENT</t>
  </si>
  <si>
    <t>M007</t>
  </si>
  <si>
    <t>Gong Call Cadence — Last 90 Days</t>
  </si>
  <si>
    <t>Verify that at least one client-facing call has been logged in Gong in the last 90 days.</t>
  </si>
  <si>
    <t>A gap in call cadence means the documented strategy may no longer reflect what the client actually wants — objectives drift without regular contact.</t>
  </si>
  <si>
    <t>Pull 11_Gong_Call_Insights and check Gong__Call_Start__c for the most recent call date. Calculate the number of days since the last logged call. Flag if no call was logged in the last 90 days.</t>
  </si>
  <si>
    <t>Last Gong call logged: {last_call_date}. Days since last call: {days_since_call}. Calls in the last 90 days: {calls_l90d}.</t>
  </si>
  <si>
    <t>90 days without a call means two full reporting cycles passed without a documented strategy conversation. By then, market conditions, product catalog, and client priorities may all have shifted — and none of it is captured.</t>
  </si>
  <si>
    <t>Schedule the next client call immediately if the gap is approaching or exceeding 90 days. Ensure call is logged in Gong and that a summary is added to CS Notes in Salesforce afterward.</t>
  </si>
  <si>
    <t>11_Gong_Call_Insights · Gong__Call_Start__c</t>
  </si>
  <si>
    <t>M008</t>
  </si>
  <si>
    <t>CSM Can Articulate DSP Strategy</t>
  </si>
  <si>
    <t>M009</t>
  </si>
  <si>
    <t>CSM–Strategist Alignment Clear</t>
  </si>
  <si>
    <t>CSM KNOWLEDGE (MANUAL — QR CALL)</t>
  </si>
  <si>
    <t>Verify that the CSM can clearly explain the current DSP strategy, its funnel coverage, and how it supports the client's business goal during the CoE review call.</t>
  </si>
  <si>
    <t>A CSM who cannot articulate the strategy cannot defend it to the client or course-correct when performance shifts unexpectedly.</t>
  </si>
  <si>
    <t>During the CoE call, ask the CSM to explain the current DSP strategy. Evaluate whether the response identifies the funnel coverage, the primary objective, and how the two connect. Flag if the answer is generic or requires strategist support.</t>
  </si>
  <si>
    <t>CSM explanation of DSP strategy: {csm_strategy_explanation}. Quality of articulation assessed as: {strategy_articulation_quality}.</t>
  </si>
  <si>
    <t>If the CSM cannot explain the strategy on a review call, they cannot explain it to the client either. That gap erodes client confidence and puts the account at churn risk.</t>
  </si>
  <si>
    <t>Review the account strategy documentation with the CSM before the next client call. Ensure they can answer three questions without referring to notes: What is the funnel strategy? What is the ROAS target and current status? What is the next action?</t>
  </si>
  <si>
    <t>Manual review — QR presentation call</t>
  </si>
  <si>
    <t>Verify that strategy direction, execution priorities, and client communication are consistent between the CSM and the DSP strategist during the CoE review call.</t>
  </si>
  <si>
    <t>Misalignment between CSM and strategist produces mixed messages in client calls and leads to inconsistent account changes without clear ownership.</t>
  </si>
  <si>
    <t>During the CoE call, evaluate whether the CSM and DSP strategist give consistent answers on the current strategy, the next actions, and the account status. Flag if their accounts of events diverge or if one clearly defers to the other for all answers.</t>
  </si>
  <si>
    <t>CSM–Strategist alignment status: {csm_strategist_alignment}. Specific areas of divergence observed: {alignment_divergence_details}.</t>
  </si>
  <si>
    <t>When CSM and strategist are not aligned, the client sits in between two versions of reality. That creates confusion, slows decision-making, and signals internally that the account is not properly managed.</t>
  </si>
  <si>
    <t>Align CSM and strategist on the account narrative before the next client call. Use a shared prep document that covers: current status, next actions, and client open questions. Set a 15-minute pre-call sync as a standard habit.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</si>
</sst>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9"/>
      <color rgb="FFFFFFFF"/>
      <name val="Calibri"/>
      <family val="2"/>
    </font>
    <font>
      <sz val="9"/>
      <color theme="1"/>
      <name val="Calibri"/>
      <family val="2"/>
      <scheme val="minor"/>
    </font>
    <font>
      <sz val="9"/>
      <name val="Calibri"/>
      <family val="2"/>
      <scheme val="minor"/>
    </font>
    <font>
      <sz val="11"/>
      <name val="Calibri"/>
      <family val="2"/>
      <scheme val="minor"/>
    </font>
    <font>
      <sz val="8"/>
      <name val="Calibri"/>
      <family val="2"/>
      <scheme val="minor"/>
    </font>
  </fonts>
  <fills count="8">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s>
  <borders count="13">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42">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center" vertical="center" wrapText="1"/>
    </xf>
    <xf numFmtId="0" fontId="8" fillId="4" borderId="0" xfId="0" applyFont="1" applyFill="1"/>
    <xf numFmtId="0" fontId="0" fillId="0" borderId="0" xfId="0" applyAlignment="1">
      <alignment horizontal="center" vertical="center"/>
    </xf>
    <xf numFmtId="0" fontId="5" fillId="5" borderId="1" xfId="0" applyFont="1" applyFill="1" applyBorder="1" applyAlignment="1">
      <alignment horizontal="center" vertical="center" wrapText="1"/>
    </xf>
    <xf numFmtId="0" fontId="6" fillId="6" borderId="0" xfId="0" applyFont="1" applyFill="1" applyAlignment="1">
      <alignment horizontal="center" vertical="center" wrapText="1"/>
    </xf>
    <xf numFmtId="0" fontId="0" fillId="5" borderId="0" xfId="0" applyFill="1"/>
    <xf numFmtId="0" fontId="6" fillId="6" borderId="4"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0" fillId="0" borderId="0" xfId="0" applyAlignment="1">
      <alignment horizontal="center" vertical="center" wrapText="1"/>
    </xf>
    <xf numFmtId="0" fontId="11" fillId="0" borderId="0" xfId="0" applyFont="1" applyAlignment="1">
      <alignment horizontal="center" vertical="center" wrapText="1"/>
    </xf>
    <xf numFmtId="0" fontId="12" fillId="0" borderId="2" xfId="0" applyFont="1" applyBorder="1" applyAlignment="1">
      <alignment horizontal="center" vertical="center" wrapText="1"/>
    </xf>
    <xf numFmtId="0" fontId="13" fillId="0" borderId="2" xfId="0" applyFont="1" applyBorder="1" applyAlignment="1">
      <alignment horizontal="center" vertical="center" wrapText="1"/>
    </xf>
    <xf numFmtId="0" fontId="5" fillId="2" borderId="9"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5" fillId="2" borderId="10" xfId="0" applyFont="1" applyFill="1" applyBorder="1" applyAlignment="1">
      <alignment horizontal="center" vertical="center" wrapText="1"/>
    </xf>
    <xf numFmtId="0" fontId="0" fillId="0" borderId="11" xfId="0" applyBorder="1" applyAlignment="1">
      <alignment horizontal="center" vertical="center" wrapText="1"/>
    </xf>
    <xf numFmtId="0" fontId="0" fillId="0" borderId="2" xfId="0" applyBorder="1" applyAlignment="1">
      <alignment horizontal="center" vertical="center" wrapText="1"/>
    </xf>
    <xf numFmtId="0" fontId="0" fillId="0" borderId="2" xfId="0" applyBorder="1"/>
    <xf numFmtId="0" fontId="0" fillId="0" borderId="12" xfId="0" applyBorder="1" applyAlignment="1">
      <alignment wrapText="1"/>
    </xf>
    <xf numFmtId="0" fontId="13" fillId="0" borderId="11" xfId="0" applyFont="1" applyBorder="1" applyAlignment="1">
      <alignment horizontal="center" vertical="center" wrapText="1"/>
    </xf>
    <xf numFmtId="22" fontId="0" fillId="5" borderId="0" xfId="0" applyNumberFormat="1" applyFill="1" applyAlignment="1">
      <alignment horizontal="left"/>
    </xf>
    <xf numFmtId="0" fontId="1" fillId="7" borderId="5" xfId="0" applyFont="1" applyFill="1" applyBorder="1" applyAlignment="1">
      <alignment horizontal="center" vertical="center"/>
    </xf>
    <xf numFmtId="0" fontId="0" fillId="7" borderId="7" xfId="0" applyFill="1" applyBorder="1"/>
    <xf numFmtId="0" fontId="0" fillId="7" borderId="6" xfId="0" applyFill="1" applyBorder="1"/>
    <xf numFmtId="0" fontId="3" fillId="5" borderId="0" xfId="0" applyFont="1" applyFill="1" applyAlignment="1">
      <alignment horizontal="left" vertical="top" wrapText="1"/>
    </xf>
    <xf numFmtId="0" fontId="0" fillId="0" borderId="0" xfId="0"/>
    <xf numFmtId="0" fontId="2" fillId="5" borderId="0" xfId="0" applyFont="1" applyFill="1"/>
    <xf numFmtId="0" fontId="4" fillId="0" borderId="0" xfId="0" applyFont="1" applyAlignment="1">
      <alignment horizontal="left" vertical="top" wrapText="1"/>
    </xf>
    <xf numFmtId="0" fontId="9" fillId="5" borderId="8" xfId="0" applyFont="1" applyFill="1" applyBorder="1" applyAlignment="1">
      <alignment horizontal="center" vertical="top" wrapText="1"/>
    </xf>
    <xf numFmtId="0" fontId="0" fillId="0" borderId="7" xfId="0" applyBorder="1"/>
    <xf numFmtId="0" fontId="1" fillId="5" borderId="5" xfId="0" applyFont="1" applyFill="1" applyBorder="1" applyAlignment="1">
      <alignment horizontal="center" vertical="center"/>
    </xf>
    <xf numFmtId="0" fontId="0" fillId="0" borderId="6" xfId="0" applyBorder="1"/>
  </cellXfs>
  <cellStyles count="1">
    <cellStyle name="Normal" xfId="0" builtinId="0"/>
  </cellStyles>
  <dxfs count="29">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alignment horizontal="left" vertical="top"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u val="none"/>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O10" totalsRowShown="0" headerRowDxfId="28" dataDxfId="26" headerRowBorderDxfId="27" tableBorderDxfId="25" totalsRowBorderDxfId="24">
  <autoFilter ref="A1:O10" xr:uid="{00000000-0009-0000-0100-000001000000}"/>
  <tableColumns count="15">
    <tableColumn id="1" xr3:uid="{00000000-0010-0000-0000-000001000000}" name="Block" dataDxfId="23"/>
    <tableColumn id="2" xr3:uid="{00000000-0010-0000-0000-000002000000}" name="Control ID" dataDxfId="22"/>
    <tableColumn id="3" xr3:uid="{00000000-0010-0000-0000-000003000000}" name="Control Name" dataDxfId="21"/>
    <tableColumn id="4" xr3:uid="{00000000-0010-0000-0000-000004000000}" name="STATUS" dataDxfId="20"/>
    <tableColumn id="5" xr3:uid="{00000000-0010-0000-0000-000005000000}" name="What" dataDxfId="19"/>
    <tableColumn id="6" xr3:uid="{00000000-0010-0000-0000-000006000000}" name="Why" dataDxfId="18"/>
    <tableColumn id="7" xr3:uid="{00000000-0010-0000-0000-000007000000}" name="How" dataDxfId="17"/>
    <tableColumn id="14" xr3:uid="{00000000-0010-0000-0000-00000E000000}" name="What We Saw" dataDxfId="16"/>
    <tableColumn id="13" xr3:uid="{00000000-0010-0000-0000-00000D000000}" name="Why It Matters" dataDxfId="15"/>
    <tableColumn id="15" xr3:uid="{9F036FCC-ADD1-4744-9AC3-4254D56A877D}" name="What You Should Do " dataDxfId="14"/>
    <tableColumn id="8" xr3:uid="{00000000-0010-0000-0000-000008000000}" name="Data Source" dataDxfId="13"/>
    <tableColumn id="9" xr3:uid="{00000000-0010-0000-0000-000009000000}" name="Impact" dataDxfId="12">
      <calculatedColumnFormula>VLOOKUP(Table1[[#This Row],[Importance]],'Logic and Calculation'!$H$3:$J$12,3,FALSE)</calculatedColumnFormula>
    </tableColumn>
    <tableColumn id="10" xr3:uid="{00000000-0010-0000-0000-00000A000000}" name="Importance" dataDxfId="11"/>
    <tableColumn id="11" xr3:uid="{00000000-0010-0000-0000-00000B000000}" name="Priority" dataDxfId="10">
      <calculatedColumnFormula>VLOOKUP(Table1[[#This Row],[Importance]],'Logic and Calculation'!$H$3:$J$12,2,FALSE)</calculatedColumnFormula>
    </tableColumn>
    <tableColumn id="12" xr3:uid="{00000000-0010-0000-0000-00000C000000}" name="Notes/Intent" dataDxfId="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F35"/>
  <sheetViews>
    <sheetView zoomScale="70" zoomScaleNormal="70" workbookViewId="0">
      <pane ySplit="8" topLeftCell="A9" activePane="bottomLeft" state="frozen"/>
      <selection pane="bottomLeft" activeCell="C18" sqref="C18"/>
    </sheetView>
  </sheetViews>
  <sheetFormatPr defaultRowHeight="14.4" x14ac:dyDescent="0.3"/>
  <cols>
    <col min="1" max="1" width="21.44140625" customWidth="1"/>
    <col min="2" max="2" width="27.5546875" customWidth="1"/>
    <col min="3" max="3" width="38.21875" customWidth="1"/>
    <col min="4" max="4" width="52" style="13" customWidth="1"/>
    <col min="5" max="6" width="50.21875" style="13" customWidth="1"/>
    <col min="7" max="7" width="47.33203125" customWidth="1"/>
    <col min="8" max="8" width="26.77734375" style="8" customWidth="1"/>
    <col min="9" max="9" width="21.5546875" style="8" bestFit="1" customWidth="1"/>
    <col min="10" max="10" width="26.21875" style="8" bestFit="1" customWidth="1"/>
    <col min="11" max="11" width="19.6640625" style="8" bestFit="1" customWidth="1"/>
    <col min="12" max="12" width="19.44140625" style="8" bestFit="1" customWidth="1"/>
    <col min="13" max="13" width="21.88671875" style="8" bestFit="1" customWidth="1"/>
    <col min="14" max="14" width="25" style="8" bestFit="1" customWidth="1"/>
    <col min="15" max="15" width="25.6640625" style="8" bestFit="1" customWidth="1"/>
    <col min="16" max="16" width="28.44140625" style="8" bestFit="1" customWidth="1"/>
    <col min="17" max="17" width="27.6640625" style="8" bestFit="1" customWidth="1"/>
    <col min="18" max="18" width="22.33203125" style="8" bestFit="1" customWidth="1"/>
    <col min="19" max="19" width="16.88671875" style="8" bestFit="1" customWidth="1"/>
    <col min="20" max="20" width="10.6640625" style="8" bestFit="1" customWidth="1"/>
    <col min="21" max="21" width="26.6640625" style="8" bestFit="1" customWidth="1"/>
    <col min="22" max="22" width="27.6640625" style="8" bestFit="1" customWidth="1"/>
    <col min="23" max="23" width="18.88671875" style="8" bestFit="1" customWidth="1"/>
    <col min="24" max="24" width="20" style="8" bestFit="1" customWidth="1"/>
    <col min="25" max="25" width="14.44140625" style="8" bestFit="1" customWidth="1"/>
    <col min="26" max="26" width="19.44140625" style="8" bestFit="1" customWidth="1"/>
    <col min="27" max="27" width="12.77734375" style="8" bestFit="1" customWidth="1"/>
    <col min="28" max="28" width="30.44140625" style="8" bestFit="1" customWidth="1"/>
    <col min="29" max="29" width="24.88671875" style="8" bestFit="1" customWidth="1"/>
    <col min="30" max="30" width="20.44140625" style="8" bestFit="1" customWidth="1"/>
    <col min="31" max="31" width="16.109375" style="8" bestFit="1" customWidth="1"/>
    <col min="32" max="32" width="21.5546875" style="8" bestFit="1" customWidth="1"/>
    <col min="33" max="33" width="25.77734375" bestFit="1" customWidth="1"/>
    <col min="34" max="34" width="16.88671875" bestFit="1" customWidth="1"/>
    <col min="35" max="35" width="24.109375" bestFit="1" customWidth="1"/>
    <col min="36" max="36" width="26" bestFit="1" customWidth="1"/>
    <col min="37" max="37" width="22.21875" bestFit="1" customWidth="1"/>
    <col min="38" max="38" width="28" bestFit="1" customWidth="1"/>
    <col min="39" max="39" width="22.21875" bestFit="1" customWidth="1"/>
    <col min="40" max="40" width="16.77734375" bestFit="1" customWidth="1"/>
    <col min="41" max="41" width="14.33203125" bestFit="1" customWidth="1"/>
    <col min="42" max="42" width="16.5546875" bestFit="1" customWidth="1"/>
    <col min="43" max="43" width="15.5546875" bestFit="1" customWidth="1"/>
    <col min="44" max="44" width="21.21875" bestFit="1" customWidth="1"/>
    <col min="45" max="45" width="19.33203125" bestFit="1" customWidth="1"/>
    <col min="46" max="46" width="20.21875" bestFit="1" customWidth="1"/>
    <col min="47" max="47" width="18.5546875" bestFit="1" customWidth="1"/>
    <col min="48" max="48" width="19.6640625" bestFit="1" customWidth="1"/>
    <col min="49" max="49" width="29.33203125" bestFit="1" customWidth="1"/>
    <col min="50" max="50" width="12.44140625" bestFit="1" customWidth="1"/>
    <col min="51" max="51" width="22.6640625" bestFit="1" customWidth="1"/>
    <col min="52" max="52" width="15.77734375" bestFit="1" customWidth="1"/>
    <col min="53" max="53" width="28.21875" bestFit="1" customWidth="1"/>
    <col min="54" max="54" width="21.5546875" bestFit="1" customWidth="1"/>
    <col min="55" max="55" width="26.33203125" bestFit="1" customWidth="1"/>
    <col min="56" max="56" width="19.5546875" bestFit="1" customWidth="1"/>
    <col min="57" max="57" width="11" bestFit="1" customWidth="1"/>
  </cols>
  <sheetData>
    <row r="1" spans="1:8" ht="28.05" customHeight="1" thickBot="1" x14ac:dyDescent="0.35">
      <c r="A1" s="31" t="s">
        <v>40</v>
      </c>
      <c r="B1" s="32"/>
      <c r="C1" s="33"/>
      <c r="D1" s="33"/>
      <c r="E1" s="33"/>
      <c r="F1" s="33"/>
      <c r="G1" s="33"/>
    </row>
    <row r="2" spans="1:8" x14ac:dyDescent="0.3">
      <c r="A2" s="16" t="s">
        <v>42</v>
      </c>
      <c r="B2" s="8" t="s">
        <v>50</v>
      </c>
      <c r="C2" s="8"/>
      <c r="D2" s="34"/>
      <c r="E2" s="35"/>
      <c r="F2" s="35"/>
      <c r="G2" s="35"/>
    </row>
    <row r="3" spans="1:8" x14ac:dyDescent="0.3">
      <c r="A3" s="15" t="s">
        <v>34</v>
      </c>
      <c r="B3" t="s">
        <v>35</v>
      </c>
      <c r="D3" s="14"/>
      <c r="E3"/>
      <c r="F3"/>
    </row>
    <row r="4" spans="1:8" ht="14.4" customHeight="1" x14ac:dyDescent="0.3">
      <c r="A4" s="16" t="s">
        <v>33</v>
      </c>
      <c r="B4" s="8" t="s">
        <v>36</v>
      </c>
      <c r="C4" s="8"/>
      <c r="D4" s="34"/>
      <c r="E4" s="35"/>
      <c r="F4" s="35"/>
      <c r="G4" s="35"/>
    </row>
    <row r="5" spans="1:8" ht="14.4" customHeight="1" x14ac:dyDescent="0.3">
      <c r="A5" s="16" t="s">
        <v>37</v>
      </c>
      <c r="B5" s="30">
        <v>46083.684884259259</v>
      </c>
      <c r="C5" s="8"/>
      <c r="D5" s="14"/>
      <c r="E5"/>
      <c r="F5"/>
    </row>
    <row r="6" spans="1:8" ht="15" thickBot="1" x14ac:dyDescent="0.35">
      <c r="A6" s="8"/>
      <c r="B6" s="8"/>
      <c r="C6" s="8"/>
      <c r="D6" s="12"/>
      <c r="E6" s="12"/>
      <c r="F6" s="12"/>
      <c r="G6" s="8"/>
    </row>
    <row r="7" spans="1:8" ht="21" customHeight="1" thickBot="1" x14ac:dyDescent="0.35">
      <c r="A7" s="36" t="s">
        <v>41</v>
      </c>
      <c r="B7" s="35"/>
      <c r="C7" s="35"/>
      <c r="D7" s="40" t="str">
        <f>'Logic and Calculation'!B5</f>
        <v xml:space="preserve">Compliant </v>
      </c>
      <c r="E7" s="41"/>
      <c r="F7" s="41"/>
      <c r="G7" s="41"/>
    </row>
    <row r="8" spans="1:8" ht="18" customHeight="1" x14ac:dyDescent="0.3">
      <c r="A8" s="36" t="s">
        <v>0</v>
      </c>
      <c r="B8" s="35"/>
      <c r="C8" s="35"/>
      <c r="D8" s="38" t="str" cm="1">
        <f t="array" ref="D8">_xlfn.IFS(D7='Logic and Calculation'!L3,'Logic and Calculation'!M3,D7='Logic and Calculation'!L4,'Logic and Calculation'!M4,D7='Logic and Calculation'!L5,'Logic and Calculation'!M5)</f>
        <v>The account owner demonstrates a clear understanding of the client objective, account dynamics, and strategic roadmap. Documentation and client communication are consistent, enabling confident strategic decision-making and effective collaboration with CoE.</v>
      </c>
      <c r="E8" s="39"/>
      <c r="F8" s="39"/>
      <c r="G8" s="39"/>
    </row>
    <row r="9" spans="1:8" ht="18" customHeight="1" x14ac:dyDescent="0.3">
      <c r="A9" s="8"/>
      <c r="B9" s="8"/>
      <c r="C9" s="8"/>
      <c r="D9" s="12"/>
      <c r="E9" s="12"/>
      <c r="F9" s="12"/>
      <c r="G9" s="8"/>
    </row>
    <row r="10" spans="1:8" x14ac:dyDescent="0.3">
      <c r="A10" s="37" t="s">
        <v>1</v>
      </c>
      <c r="B10" s="35"/>
      <c r="C10" s="35"/>
      <c r="D10" s="35"/>
      <c r="E10" s="35"/>
      <c r="F10" s="35"/>
      <c r="G10" s="35"/>
    </row>
    <row r="11" spans="1:8" ht="19.95" customHeight="1" x14ac:dyDescent="0.3">
      <c r="A11" s="1" t="s">
        <v>2</v>
      </c>
      <c r="B11" s="1" t="s">
        <v>3</v>
      </c>
      <c r="C11" s="1" t="s">
        <v>4</v>
      </c>
      <c r="D11" s="1" t="s">
        <v>5</v>
      </c>
      <c r="E11" s="1" t="s">
        <v>6</v>
      </c>
      <c r="F11" s="1" t="s">
        <v>51</v>
      </c>
      <c r="G11" s="1" t="s">
        <v>7</v>
      </c>
      <c r="H11" s="6"/>
    </row>
    <row r="12" spans="1:8" ht="44.4" customHeight="1" x14ac:dyDescent="0.3">
      <c r="A12" s="10" t="str" cm="1">
        <f t="array" ref="A12">_xlfn.LET(
  _xlpm.id, 'Account Mastery_Reference'!B2:B10,
  _xlpm.name, 'Account Mastery_Reference'!C2:C10,
  _xlpm.st, 'Account Mastery_Reference'!D2:D10,
  _xlpm.saw, 'Account Mastery_Reference'!H2:H10,
  _xlpm.matter, 'Account Mastery_Reference'!I2:I10,
  _xlpm.wysd, 'Account Mastery_Reference'!J2:J10,
  _xlpm.impact, 'Account Mastery_Reference'!L2:L10,
  _xlpm.data, _xlfn.HSTACK(_xlpm.id, _xlpm.name, _xlpm.st, _xlpm.saw, _xlpm.matter, _xlpm.wysd, _xlpm.impact),
  IFERROR(_xlfn._xlws.FILTER(_xlpm.data, (_xlpm.st&lt;&gt;"OK")*(_xlpm.st&lt;&gt;"")), "No findings — all controls OK")
)</f>
        <v>No findings — all controls OK</v>
      </c>
      <c r="B12" s="10"/>
      <c r="C12" s="9"/>
      <c r="D12" s="10"/>
      <c r="E12" s="10"/>
      <c r="F12" s="10"/>
      <c r="G12" s="10"/>
    </row>
    <row r="13" spans="1:8" ht="44.4" customHeight="1" x14ac:dyDescent="0.3">
      <c r="A13" s="10"/>
      <c r="B13" s="10"/>
      <c r="C13" s="7"/>
      <c r="D13" s="10"/>
      <c r="E13" s="10"/>
      <c r="F13" s="10"/>
      <c r="G13" s="10"/>
    </row>
    <row r="14" spans="1:8" ht="44.4" customHeight="1" x14ac:dyDescent="0.3">
      <c r="A14" s="10"/>
      <c r="B14" s="10"/>
      <c r="C14" s="7"/>
      <c r="D14" s="10"/>
      <c r="E14" s="10"/>
      <c r="F14" s="10"/>
      <c r="G14" s="10"/>
    </row>
    <row r="15" spans="1:8" ht="44.4" customHeight="1" x14ac:dyDescent="0.3">
      <c r="A15" s="10"/>
      <c r="B15" s="10"/>
      <c r="C15" s="7"/>
      <c r="D15" s="10"/>
      <c r="E15" s="10"/>
      <c r="F15" s="10"/>
      <c r="G15" s="10"/>
    </row>
    <row r="16" spans="1:8" ht="44.4" customHeight="1" x14ac:dyDescent="0.3">
      <c r="A16" s="10"/>
      <c r="B16" s="10"/>
      <c r="C16" s="7"/>
      <c r="D16" s="10"/>
      <c r="E16" s="10"/>
      <c r="F16" s="10"/>
      <c r="G16" s="10"/>
    </row>
    <row r="17" spans="1:7" ht="44.4" customHeight="1" x14ac:dyDescent="0.3">
      <c r="A17" s="10"/>
      <c r="B17" s="10"/>
      <c r="C17" s="7"/>
      <c r="D17" s="10"/>
      <c r="E17" s="10"/>
      <c r="F17" s="10"/>
      <c r="G17" s="10"/>
    </row>
    <row r="18" spans="1:7" ht="44.4" customHeight="1" x14ac:dyDescent="0.3">
      <c r="A18" s="10"/>
      <c r="B18" s="10"/>
      <c r="C18" s="7"/>
      <c r="D18" s="10"/>
      <c r="E18" s="10"/>
      <c r="F18" s="10"/>
      <c r="G18" s="10"/>
    </row>
    <row r="19" spans="1:7" ht="44.4" customHeight="1" x14ac:dyDescent="0.3">
      <c r="A19" s="10"/>
      <c r="B19" s="10"/>
      <c r="C19" s="7"/>
      <c r="D19" s="10"/>
      <c r="E19" s="10"/>
      <c r="F19" s="10"/>
      <c r="G19" s="10"/>
    </row>
    <row r="20" spans="1:7" ht="44.4" customHeight="1" x14ac:dyDescent="0.3">
      <c r="A20" s="10"/>
      <c r="B20" s="10"/>
      <c r="C20" s="7"/>
      <c r="D20" s="10"/>
      <c r="E20" s="10"/>
      <c r="F20" s="10"/>
      <c r="G20" s="10"/>
    </row>
    <row r="21" spans="1:7" ht="44.4" customHeight="1" x14ac:dyDescent="0.3">
      <c r="A21" s="10"/>
      <c r="B21" s="10"/>
      <c r="C21" s="7"/>
      <c r="D21" s="10"/>
      <c r="E21" s="10"/>
      <c r="F21" s="10"/>
      <c r="G21" s="10"/>
    </row>
    <row r="22" spans="1:7" ht="44.4" customHeight="1" x14ac:dyDescent="0.3">
      <c r="A22" s="10"/>
      <c r="B22" s="10"/>
      <c r="C22" s="7"/>
      <c r="D22" s="10"/>
      <c r="E22" s="10"/>
      <c r="F22" s="10"/>
      <c r="G22" s="10"/>
    </row>
    <row r="23" spans="1:7" ht="44.4" customHeight="1" x14ac:dyDescent="0.3">
      <c r="A23" s="10"/>
      <c r="B23" s="10"/>
      <c r="C23" s="7"/>
      <c r="D23" s="10"/>
      <c r="E23" s="10"/>
      <c r="F23" s="10"/>
      <c r="G23" s="10"/>
    </row>
    <row r="24" spans="1:7" ht="44.4" customHeight="1" x14ac:dyDescent="0.3">
      <c r="A24" s="10"/>
      <c r="B24" s="10"/>
      <c r="C24" s="7"/>
      <c r="D24" s="10"/>
      <c r="E24" s="10"/>
      <c r="F24" s="10"/>
      <c r="G24" s="10"/>
    </row>
    <row r="25" spans="1:7" ht="44.4" customHeight="1" x14ac:dyDescent="0.3">
      <c r="A25" s="10"/>
      <c r="B25" s="10"/>
      <c r="C25" s="7"/>
      <c r="D25" s="10"/>
      <c r="E25" s="10"/>
      <c r="F25" s="10"/>
      <c r="G25" s="10"/>
    </row>
    <row r="26" spans="1:7" ht="44.4" customHeight="1" x14ac:dyDescent="0.3">
      <c r="A26" s="10"/>
      <c r="B26" s="10"/>
      <c r="C26" s="7"/>
      <c r="D26" s="10"/>
      <c r="E26" s="10"/>
      <c r="F26" s="10"/>
      <c r="G26" s="10"/>
    </row>
    <row r="27" spans="1:7" ht="44.4" customHeight="1" x14ac:dyDescent="0.3">
      <c r="A27" s="10"/>
      <c r="B27" s="10"/>
      <c r="C27" s="7"/>
      <c r="D27" s="10"/>
      <c r="E27" s="10"/>
      <c r="F27" s="10"/>
      <c r="G27" s="10"/>
    </row>
    <row r="28" spans="1:7" ht="44.4" customHeight="1" x14ac:dyDescent="0.3">
      <c r="A28" s="10"/>
      <c r="B28" s="10"/>
      <c r="C28" s="7"/>
      <c r="D28" s="10"/>
      <c r="E28" s="10"/>
      <c r="F28" s="10"/>
      <c r="G28" s="10"/>
    </row>
    <row r="29" spans="1:7" ht="44.4" customHeight="1" x14ac:dyDescent="0.3">
      <c r="A29" s="8"/>
      <c r="B29" s="8"/>
      <c r="C29" s="7"/>
      <c r="D29" s="12"/>
      <c r="E29" s="12"/>
      <c r="F29" s="12"/>
      <c r="G29" s="8"/>
    </row>
    <row r="30" spans="1:7" ht="44.4" customHeight="1" x14ac:dyDescent="0.3">
      <c r="A30" s="8"/>
      <c r="B30" s="8"/>
      <c r="C30" s="7"/>
      <c r="D30" s="12"/>
      <c r="E30" s="12"/>
      <c r="F30" s="12"/>
      <c r="G30" s="8"/>
    </row>
    <row r="31" spans="1:7" ht="44.4" customHeight="1" x14ac:dyDescent="0.3">
      <c r="C31" s="7"/>
    </row>
    <row r="32" spans="1:7" ht="44.4" customHeight="1" x14ac:dyDescent="0.3">
      <c r="C32" s="7"/>
    </row>
    <row r="33" spans="3:3" ht="44.4" customHeight="1" x14ac:dyDescent="0.3">
      <c r="C33" s="7"/>
    </row>
    <row r="34" spans="3:3" ht="44.4" customHeight="1" x14ac:dyDescent="0.3">
      <c r="C34" s="7"/>
    </row>
    <row r="35" spans="3:3" ht="44.4" customHeight="1" x14ac:dyDescent="0.3">
      <c r="C35" s="7"/>
    </row>
  </sheetData>
  <mergeCells count="8">
    <mergeCell ref="A1:G1"/>
    <mergeCell ref="D4:G4"/>
    <mergeCell ref="A7:C7"/>
    <mergeCell ref="A10:G10"/>
    <mergeCell ref="D8:G8"/>
    <mergeCell ref="A8:C8"/>
    <mergeCell ref="D2:G2"/>
    <mergeCell ref="D7:G7"/>
  </mergeCells>
  <conditionalFormatting sqref="C12:C35">
    <cfRule type="cellIs" dxfId="8" priority="4" stopIfTrue="1" operator="equal">
      <formula>"OK"</formula>
    </cfRule>
    <cfRule type="cellIs" dxfId="7" priority="5" stopIfTrue="1" operator="equal">
      <formula>"PARTIAL"</formula>
    </cfRule>
    <cfRule type="cellIs" dxfId="6" priority="6" stopIfTrue="1" operator="equal">
      <formula>"FLAG"</formula>
    </cfRule>
  </conditionalFormatting>
  <conditionalFormatting sqref="D7:G7">
    <cfRule type="containsText" dxfId="5" priority="1" operator="containsText" text="Compliant ">
      <formula>NOT(ISERROR(SEARCH("Compliant ",D7)))</formula>
    </cfRule>
    <cfRule type="containsText" dxfId="4" priority="2" operator="containsText" text="Needs Attention">
      <formula>NOT(ISERROR(SEARCH("Needs Attention",D7)))</formula>
    </cfRule>
    <cfRule type="containsText" dxfId="3" priority="3" operator="containsText" text="Not">
      <formula>NOT(ISERROR(SEARCH("Not",D7)))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10"/>
  <sheetViews>
    <sheetView tabSelected="1" zoomScale="70" zoomScaleNormal="70" workbookViewId="0">
      <pane ySplit="1" topLeftCell="A2" activePane="bottomLeft" state="frozen"/>
      <selection pane="bottomLeft" activeCell="F26" sqref="E26:F26"/>
    </sheetView>
  </sheetViews>
  <sheetFormatPr defaultRowHeight="14.4" x14ac:dyDescent="0.3"/>
  <cols>
    <col min="1" max="1" width="22" style="5" customWidth="1"/>
    <col min="2" max="2" width="12.88671875" style="5" customWidth="1"/>
    <col min="3" max="3" width="30" style="5" customWidth="1"/>
    <col min="4" max="4" width="8.44140625" style="5" customWidth="1"/>
    <col min="5" max="5" width="48.5546875" style="18" customWidth="1"/>
    <col min="6" max="6" width="48.5546875" style="17" customWidth="1"/>
    <col min="7" max="7" width="74.88671875" style="17" customWidth="1"/>
    <col min="8" max="8" width="76.44140625" style="17" customWidth="1"/>
    <col min="9" max="10" width="59.88671875" style="17" customWidth="1"/>
    <col min="11" max="11" width="48" style="5" customWidth="1"/>
    <col min="12" max="12" width="10" customWidth="1"/>
    <col min="13" max="13" width="11.6640625" customWidth="1"/>
    <col min="14" max="14" width="22" customWidth="1"/>
    <col min="15" max="15" width="54.33203125" style="13" customWidth="1"/>
  </cols>
  <sheetData>
    <row r="1" spans="1:15" ht="28.2" customHeight="1" x14ac:dyDescent="0.3">
      <c r="A1" s="21" t="s">
        <v>8</v>
      </c>
      <c r="B1" s="22" t="s">
        <v>2</v>
      </c>
      <c r="C1" s="22" t="s">
        <v>3</v>
      </c>
      <c r="D1" s="22" t="s">
        <v>9</v>
      </c>
      <c r="E1" s="23" t="s">
        <v>10</v>
      </c>
      <c r="F1" s="22" t="s">
        <v>11</v>
      </c>
      <c r="G1" s="22" t="s">
        <v>12</v>
      </c>
      <c r="H1" s="22" t="s">
        <v>5</v>
      </c>
      <c r="I1" s="22" t="s">
        <v>6</v>
      </c>
      <c r="J1" s="22" t="s">
        <v>51</v>
      </c>
      <c r="K1" s="22" t="s">
        <v>13</v>
      </c>
      <c r="L1" s="22" t="s">
        <v>7</v>
      </c>
      <c r="M1" s="22" t="s">
        <v>14</v>
      </c>
      <c r="N1" s="22" t="s">
        <v>15</v>
      </c>
      <c r="O1" s="24" t="s">
        <v>16</v>
      </c>
    </row>
    <row r="2" spans="1:15" ht="46.8" customHeight="1" x14ac:dyDescent="0.3">
      <c r="A2" s="25" t="s">
        <v>52</v>
      </c>
      <c r="B2" s="3" t="s">
        <v>53</v>
      </c>
      <c r="C2" s="26" t="s">
        <v>54</v>
      </c>
      <c r="D2" s="3" t="s">
        <v>17</v>
      </c>
      <c r="E2" s="26" t="s">
        <v>65</v>
      </c>
      <c r="F2" s="26" t="s">
        <v>66</v>
      </c>
      <c r="G2" s="26" t="s">
        <v>67</v>
      </c>
      <c r="H2" s="26" t="s">
        <v>68</v>
      </c>
      <c r="I2" s="26" t="s">
        <v>69</v>
      </c>
      <c r="J2" s="26" t="s">
        <v>70</v>
      </c>
      <c r="K2" s="26" t="s">
        <v>71</v>
      </c>
      <c r="L2" s="3" t="str">
        <f>VLOOKUP(Table1[[#This Row],[Importance]],'Logic and Calculation'!$H$3:$J$12,3,FALSE)</f>
        <v>Critical</v>
      </c>
      <c r="M2" s="27">
        <v>10</v>
      </c>
      <c r="N2" s="3">
        <f>VLOOKUP(Table1[[#This Row],[Importance]],'Logic and Calculation'!$H$3:$J$12,2,FALSE)</f>
        <v>-18</v>
      </c>
      <c r="O2" s="28"/>
    </row>
    <row r="3" spans="1:15" ht="46.8" customHeight="1" x14ac:dyDescent="0.3">
      <c r="A3" s="25" t="s">
        <v>52</v>
      </c>
      <c r="B3" s="3" t="s">
        <v>55</v>
      </c>
      <c r="C3" s="26" t="s">
        <v>56</v>
      </c>
      <c r="D3" s="3" t="s">
        <v>17</v>
      </c>
      <c r="E3" s="26" t="s">
        <v>72</v>
      </c>
      <c r="F3" s="26" t="s">
        <v>73</v>
      </c>
      <c r="G3" s="26" t="s">
        <v>74</v>
      </c>
      <c r="H3" s="26" t="s">
        <v>75</v>
      </c>
      <c r="I3" s="26" t="s">
        <v>76</v>
      </c>
      <c r="J3" s="26" t="s">
        <v>77</v>
      </c>
      <c r="K3" s="26" t="s">
        <v>78</v>
      </c>
      <c r="L3" s="3" t="str">
        <f>VLOOKUP(Table1[[#This Row],[Importance]],'Logic and Calculation'!$H$3:$J$12,3,FALSE)</f>
        <v>High</v>
      </c>
      <c r="M3" s="27">
        <v>9</v>
      </c>
      <c r="N3" s="3">
        <f>VLOOKUP(Table1[[#This Row],[Importance]],'Logic and Calculation'!$H$3:$J$12,2,FALSE)</f>
        <v>-15</v>
      </c>
      <c r="O3" s="28"/>
    </row>
    <row r="4" spans="1:15" ht="46.8" customHeight="1" x14ac:dyDescent="0.3">
      <c r="A4" s="25" t="s">
        <v>52</v>
      </c>
      <c r="B4" s="3" t="s">
        <v>57</v>
      </c>
      <c r="C4" s="26" t="s">
        <v>58</v>
      </c>
      <c r="D4" s="3" t="s">
        <v>17</v>
      </c>
      <c r="E4" s="26" t="s">
        <v>79</v>
      </c>
      <c r="F4" s="26" t="s">
        <v>80</v>
      </c>
      <c r="G4" s="26" t="s">
        <v>81</v>
      </c>
      <c r="H4" s="26" t="s">
        <v>82</v>
      </c>
      <c r="I4" s="26" t="s">
        <v>83</v>
      </c>
      <c r="J4" s="26" t="s">
        <v>84</v>
      </c>
      <c r="K4" s="26" t="s">
        <v>85</v>
      </c>
      <c r="L4" s="3" t="str">
        <f>VLOOKUP(Table1[[#This Row],[Importance]],'Logic and Calculation'!$H$3:$J$12,3,FALSE)</f>
        <v>Low</v>
      </c>
      <c r="M4" s="27">
        <v>3</v>
      </c>
      <c r="N4" s="3">
        <f>VLOOKUP(Table1[[#This Row],[Importance]],'Logic and Calculation'!$H$3:$J$12,2,FALSE)</f>
        <v>-3</v>
      </c>
      <c r="O4" s="28"/>
    </row>
    <row r="5" spans="1:15" ht="46.8" customHeight="1" x14ac:dyDescent="0.3">
      <c r="A5" s="25" t="s">
        <v>52</v>
      </c>
      <c r="B5" s="3" t="s">
        <v>59</v>
      </c>
      <c r="C5" s="26" t="s">
        <v>60</v>
      </c>
      <c r="D5" s="3" t="s">
        <v>17</v>
      </c>
      <c r="E5" s="26" t="s">
        <v>86</v>
      </c>
      <c r="F5" s="26" t="s">
        <v>87</v>
      </c>
      <c r="G5" s="26" t="s">
        <v>88</v>
      </c>
      <c r="H5" s="26" t="s">
        <v>89</v>
      </c>
      <c r="I5" s="26" t="s">
        <v>90</v>
      </c>
      <c r="J5" s="26" t="s">
        <v>91</v>
      </c>
      <c r="K5" s="26" t="s">
        <v>92</v>
      </c>
      <c r="L5" s="3" t="str">
        <f>VLOOKUP(Table1[[#This Row],[Importance]],'Logic and Calculation'!$H$3:$J$12,3,FALSE)</f>
        <v>High</v>
      </c>
      <c r="M5" s="27">
        <v>8</v>
      </c>
      <c r="N5" s="3">
        <f>VLOOKUP(Table1[[#This Row],[Importance]],'Logic and Calculation'!$H$3:$J$12,2,FALSE)</f>
        <v>-13</v>
      </c>
      <c r="O5" s="28"/>
    </row>
    <row r="6" spans="1:15" ht="46.8" customHeight="1" x14ac:dyDescent="0.3">
      <c r="A6" s="25" t="s">
        <v>52</v>
      </c>
      <c r="B6" s="3" t="s">
        <v>61</v>
      </c>
      <c r="C6" s="26" t="s">
        <v>62</v>
      </c>
      <c r="D6" s="3" t="s">
        <v>17</v>
      </c>
      <c r="E6" s="26" t="s">
        <v>93</v>
      </c>
      <c r="F6" s="26" t="s">
        <v>94</v>
      </c>
      <c r="G6" s="26" t="s">
        <v>95</v>
      </c>
      <c r="H6" s="26" t="s">
        <v>96</v>
      </c>
      <c r="I6" s="26" t="s">
        <v>97</v>
      </c>
      <c r="J6" s="26" t="s">
        <v>98</v>
      </c>
      <c r="K6" s="26" t="s">
        <v>99</v>
      </c>
      <c r="L6" s="3" t="str">
        <f>VLOOKUP(Table1[[#This Row],[Importance]],'Logic and Calculation'!$H$3:$J$12,3,FALSE)</f>
        <v>High</v>
      </c>
      <c r="M6" s="27">
        <v>8</v>
      </c>
      <c r="N6" s="3">
        <f>VLOOKUP(Table1[[#This Row],[Importance]],'Logic and Calculation'!$H$3:$J$12,2,FALSE)</f>
        <v>-13</v>
      </c>
      <c r="O6" s="28"/>
    </row>
    <row r="7" spans="1:15" ht="46.8" customHeight="1" x14ac:dyDescent="0.3">
      <c r="A7" s="25" t="s">
        <v>52</v>
      </c>
      <c r="B7" s="3" t="s">
        <v>63</v>
      </c>
      <c r="C7" s="26" t="s">
        <v>64</v>
      </c>
      <c r="D7" s="3" t="s">
        <v>17</v>
      </c>
      <c r="E7" s="26" t="s">
        <v>100</v>
      </c>
      <c r="F7" s="26" t="s">
        <v>101</v>
      </c>
      <c r="G7" s="26" t="s">
        <v>102</v>
      </c>
      <c r="H7" s="26" t="s">
        <v>103</v>
      </c>
      <c r="I7" s="26" t="s">
        <v>104</v>
      </c>
      <c r="J7" s="26" t="s">
        <v>105</v>
      </c>
      <c r="K7" s="26" t="s">
        <v>106</v>
      </c>
      <c r="L7" s="3" t="str">
        <f>VLOOKUP(Table1[[#This Row],[Importance]],'Logic and Calculation'!$H$3:$J$12,3,FALSE)</f>
        <v>High</v>
      </c>
      <c r="M7" s="27">
        <v>8</v>
      </c>
      <c r="N7" s="3">
        <f>VLOOKUP(Table1[[#This Row],[Importance]],'Logic and Calculation'!$H$3:$J$12,2,FALSE)</f>
        <v>-13</v>
      </c>
      <c r="O7" s="28"/>
    </row>
    <row r="8" spans="1:15" ht="46.8" customHeight="1" x14ac:dyDescent="0.3">
      <c r="A8" s="25" t="s">
        <v>107</v>
      </c>
      <c r="B8" s="3" t="s">
        <v>108</v>
      </c>
      <c r="C8" s="26" t="s">
        <v>109</v>
      </c>
      <c r="D8" s="3" t="s">
        <v>17</v>
      </c>
      <c r="E8" s="26" t="s">
        <v>110</v>
      </c>
      <c r="F8" s="26" t="s">
        <v>111</v>
      </c>
      <c r="G8" s="26" t="s">
        <v>112</v>
      </c>
      <c r="H8" s="26" t="s">
        <v>113</v>
      </c>
      <c r="I8" s="26" t="s">
        <v>114</v>
      </c>
      <c r="J8" s="26" t="s">
        <v>115</v>
      </c>
      <c r="K8" s="26" t="s">
        <v>116</v>
      </c>
      <c r="L8" s="3" t="str">
        <f>VLOOKUP(Table1[[#This Row],[Importance]],'Logic and Calculation'!$H$3:$J$12,3,FALSE)</f>
        <v>Medium</v>
      </c>
      <c r="M8" s="27">
        <v>7</v>
      </c>
      <c r="N8" s="3">
        <f>VLOOKUP(Table1[[#This Row],[Importance]],'Logic and Calculation'!$H$3:$J$12,2,FALSE)</f>
        <v>-11</v>
      </c>
      <c r="O8" s="28"/>
    </row>
    <row r="9" spans="1:15" ht="46.8" customHeight="1" x14ac:dyDescent="0.3">
      <c r="A9" s="29" t="s">
        <v>121</v>
      </c>
      <c r="B9" s="3" t="s">
        <v>117</v>
      </c>
      <c r="C9" s="20" t="s">
        <v>118</v>
      </c>
      <c r="D9" s="19" t="s">
        <v>17</v>
      </c>
      <c r="E9" s="20" t="s">
        <v>122</v>
      </c>
      <c r="F9" s="19" t="s">
        <v>123</v>
      </c>
      <c r="G9" s="19" t="s">
        <v>124</v>
      </c>
      <c r="H9" s="19" t="s">
        <v>125</v>
      </c>
      <c r="I9" s="19" t="s">
        <v>126</v>
      </c>
      <c r="J9" s="19" t="s">
        <v>127</v>
      </c>
      <c r="K9" s="19" t="s">
        <v>128</v>
      </c>
      <c r="L9" s="3" t="str">
        <f>VLOOKUP(Table1[[#This Row],[Importance]],'Logic and Calculation'!$H$3:$J$12,3,FALSE)</f>
        <v>High</v>
      </c>
      <c r="M9" s="27">
        <v>8</v>
      </c>
      <c r="N9" s="3">
        <f>VLOOKUP(Table1[[#This Row],[Importance]],'Logic and Calculation'!$H$3:$J$12,2,FALSE)</f>
        <v>-13</v>
      </c>
      <c r="O9" s="28"/>
    </row>
    <row r="10" spans="1:15" ht="46.8" customHeight="1" x14ac:dyDescent="0.3">
      <c r="A10" s="25" t="s">
        <v>121</v>
      </c>
      <c r="B10" s="3" t="s">
        <v>119</v>
      </c>
      <c r="C10" s="26" t="s">
        <v>120</v>
      </c>
      <c r="D10" s="19" t="s">
        <v>17</v>
      </c>
      <c r="E10" s="20" t="s">
        <v>129</v>
      </c>
      <c r="F10" s="19" t="s">
        <v>130</v>
      </c>
      <c r="G10" s="19" t="s">
        <v>131</v>
      </c>
      <c r="H10" s="19" t="s">
        <v>132</v>
      </c>
      <c r="I10" s="19" t="s">
        <v>133</v>
      </c>
      <c r="J10" s="19" t="s">
        <v>134</v>
      </c>
      <c r="K10" s="19" t="s">
        <v>128</v>
      </c>
      <c r="L10" s="3" t="str">
        <f>VLOOKUP(Table1[[#This Row],[Importance]],'Logic and Calculation'!$H$3:$J$12,3,FALSE)</f>
        <v>Medium</v>
      </c>
      <c r="M10" s="27">
        <v>7</v>
      </c>
      <c r="N10" s="3">
        <f>VLOOKUP(Table1[[#This Row],[Importance]],'Logic and Calculation'!$H$3:$J$12,2,FALSE)</f>
        <v>-11</v>
      </c>
      <c r="O10" s="28"/>
    </row>
  </sheetData>
  <phoneticPr fontId="14" type="noConversion"/>
  <conditionalFormatting sqref="D2:D10">
    <cfRule type="cellIs" dxfId="2" priority="4" stopIfTrue="1" operator="equal">
      <formula>"OK"</formula>
    </cfRule>
    <cfRule type="cellIs" dxfId="1" priority="5" stopIfTrue="1" operator="equal">
      <formula>"PARTIAL"</formula>
    </cfRule>
    <cfRule type="cellIs" dxfId="0" priority="6" stopIfTrue="1" operator="equal">
      <formula>"FLAG"</formula>
    </cfRule>
  </conditionalFormatting>
  <dataValidations count="1">
    <dataValidation type="list" allowBlank="1" sqref="D2:D10" xr:uid="{00000000-0002-0000-0100-000000000000}">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16"/>
  <sheetViews>
    <sheetView workbookViewId="0">
      <pane ySplit="7" topLeftCell="A8" activePane="bottomLeft" state="frozen"/>
      <selection pane="bottomLeft" activeCell="N14" sqref="N14"/>
    </sheetView>
  </sheetViews>
  <sheetFormatPr defaultRowHeight="14.4" x14ac:dyDescent="0.3"/>
  <cols>
    <col min="1" max="1" width="25"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2</v>
      </c>
      <c r="B1" s="2" t="s">
        <v>8</v>
      </c>
      <c r="C1" s="2" t="s">
        <v>3</v>
      </c>
      <c r="D1" s="2" t="s">
        <v>9</v>
      </c>
      <c r="E1" s="2" t="s">
        <v>15</v>
      </c>
      <c r="F1" s="2" t="s">
        <v>19</v>
      </c>
    </row>
    <row r="2" spans="1:13" x14ac:dyDescent="0.3">
      <c r="A2" t="s">
        <v>20</v>
      </c>
      <c r="B2">
        <v>100</v>
      </c>
      <c r="D2" t="s">
        <v>21</v>
      </c>
      <c r="H2" s="4" t="s">
        <v>14</v>
      </c>
      <c r="I2" s="4" t="s">
        <v>22</v>
      </c>
      <c r="J2" s="4" t="s">
        <v>23</v>
      </c>
      <c r="L2" s="11" t="s">
        <v>41</v>
      </c>
      <c r="M2" s="11" t="s">
        <v>24</v>
      </c>
    </row>
    <row r="3" spans="1:13" x14ac:dyDescent="0.3">
      <c r="A3" t="s">
        <v>25</v>
      </c>
      <c r="B3">
        <f>SUM(F8:F941)</f>
        <v>0</v>
      </c>
      <c r="D3" t="s">
        <v>46</v>
      </c>
      <c r="H3">
        <v>10</v>
      </c>
      <c r="I3">
        <v>-18</v>
      </c>
      <c r="J3" t="s">
        <v>26</v>
      </c>
      <c r="L3" t="s">
        <v>49</v>
      </c>
      <c r="M3" t="s">
        <v>43</v>
      </c>
    </row>
    <row r="4" spans="1:13" x14ac:dyDescent="0.3">
      <c r="A4" t="s">
        <v>27</v>
      </c>
      <c r="B4">
        <f>B2+B3</f>
        <v>100</v>
      </c>
      <c r="D4" t="s">
        <v>39</v>
      </c>
      <c r="H4">
        <v>9</v>
      </c>
      <c r="I4">
        <v>-15</v>
      </c>
      <c r="J4" t="s">
        <v>28</v>
      </c>
      <c r="L4" t="s">
        <v>38</v>
      </c>
      <c r="M4" t="s">
        <v>44</v>
      </c>
    </row>
    <row r="5" spans="1:13" x14ac:dyDescent="0.3">
      <c r="A5" t="s">
        <v>41</v>
      </c>
      <c r="B5" t="str">
        <f>IF(B4&gt;=75,"Compliant ",IF(AND(B4&lt;=74,B4&gt;=40),"Needs Attention","Not Compliant"))</f>
        <v xml:space="preserve">Compliant </v>
      </c>
      <c r="D5" t="s">
        <v>47</v>
      </c>
      <c r="H5">
        <v>8</v>
      </c>
      <c r="I5">
        <v>-13</v>
      </c>
      <c r="J5" t="s">
        <v>28</v>
      </c>
      <c r="L5" t="s">
        <v>45</v>
      </c>
      <c r="M5" t="s">
        <v>48</v>
      </c>
    </row>
    <row r="6" spans="1:13" x14ac:dyDescent="0.3">
      <c r="A6" t="s">
        <v>29</v>
      </c>
      <c r="B6" t="s">
        <v>30</v>
      </c>
      <c r="H6">
        <v>7</v>
      </c>
      <c r="I6">
        <v>-11</v>
      </c>
      <c r="J6" t="s">
        <v>18</v>
      </c>
    </row>
    <row r="7" spans="1:13" x14ac:dyDescent="0.3">
      <c r="H7">
        <v>6</v>
      </c>
      <c r="I7">
        <v>-9</v>
      </c>
      <c r="J7" t="s">
        <v>18</v>
      </c>
    </row>
    <row r="8" spans="1:13" x14ac:dyDescent="0.3">
      <c r="A8" t="str">
        <f>'Account Mastery_Reference'!B2</f>
        <v>M001</v>
      </c>
      <c r="B8" t="str">
        <f>'Account Mastery_Reference'!A2</f>
        <v>CLIENT DOCUMENTATION</v>
      </c>
      <c r="C8" t="str">
        <f>'Account Mastery_Reference'!C2</f>
        <v>Clear Objective Documented</v>
      </c>
      <c r="D8" t="str">
        <f>'Account Mastery_Reference'!D2</f>
        <v>OK</v>
      </c>
      <c r="E8">
        <f>'Account Mastery_Reference'!N2</f>
        <v>-18</v>
      </c>
      <c r="F8">
        <f t="shared" ref="F8" si="0">IF(D8="FLAG",E8,IF(D8="PARTIAL",E8*0.5,0))</f>
        <v>0</v>
      </c>
      <c r="H8">
        <v>5</v>
      </c>
      <c r="I8">
        <v>-7</v>
      </c>
      <c r="J8" t="s">
        <v>18</v>
      </c>
    </row>
    <row r="9" spans="1:13" x14ac:dyDescent="0.3">
      <c r="A9" t="str">
        <f>'Account Mastery_Reference'!B3</f>
        <v>M002</v>
      </c>
      <c r="B9" t="str">
        <f>'Account Mastery_Reference'!A3</f>
        <v>CLIENT DOCUMENTATION</v>
      </c>
      <c r="C9" t="str">
        <f>'Account Mastery_Reference'!C3</f>
        <v>ROAS / Efficiency Target Documented</v>
      </c>
      <c r="D9" t="str">
        <f>'Account Mastery_Reference'!D3</f>
        <v>OK</v>
      </c>
      <c r="E9">
        <f>'Account Mastery_Reference'!N3</f>
        <v>-15</v>
      </c>
      <c r="F9">
        <f t="shared" ref="F9:F16" si="1">IF(D9="FLAG",E9,IF(D9="PARTIAL",E9*0.5,0))</f>
        <v>0</v>
      </c>
      <c r="H9">
        <v>4</v>
      </c>
      <c r="I9">
        <v>-5</v>
      </c>
      <c r="J9" t="s">
        <v>31</v>
      </c>
    </row>
    <row r="10" spans="1:13" x14ac:dyDescent="0.3">
      <c r="A10" t="str">
        <f>'Account Mastery_Reference'!B4</f>
        <v>M003</v>
      </c>
      <c r="B10" t="str">
        <f>'Account Mastery_Reference'!A4</f>
        <v>CLIENT DOCUMENTATION</v>
      </c>
      <c r="C10" t="str">
        <f>'Account Mastery_Reference'!C4</f>
        <v>Daily Spend Target Set</v>
      </c>
      <c r="D10" t="str">
        <f>'Account Mastery_Reference'!D4</f>
        <v>OK</v>
      </c>
      <c r="E10">
        <f>'Account Mastery_Reference'!N4</f>
        <v>-3</v>
      </c>
      <c r="F10">
        <f t="shared" si="1"/>
        <v>0</v>
      </c>
      <c r="H10">
        <v>3</v>
      </c>
      <c r="I10">
        <v>-3</v>
      </c>
      <c r="J10" t="s">
        <v>31</v>
      </c>
    </row>
    <row r="11" spans="1:13" x14ac:dyDescent="0.3">
      <c r="A11" t="str">
        <f>'Account Mastery_Reference'!B5</f>
        <v>M004</v>
      </c>
      <c r="B11" t="str">
        <f>'Account Mastery_Reference'!A5</f>
        <v>CLIENT DOCUMENTATION</v>
      </c>
      <c r="C11" t="str">
        <f>'Account Mastery_Reference'!C5</f>
        <v>Client Success Plan Completed</v>
      </c>
      <c r="D11" t="str">
        <f>'Account Mastery_Reference'!D5</f>
        <v>OK</v>
      </c>
      <c r="E11">
        <f>'Account Mastery_Reference'!N5</f>
        <v>-13</v>
      </c>
      <c r="F11">
        <f t="shared" si="1"/>
        <v>0</v>
      </c>
      <c r="H11">
        <v>2</v>
      </c>
      <c r="I11">
        <v>-2</v>
      </c>
      <c r="J11" t="s">
        <v>32</v>
      </c>
    </row>
    <row r="12" spans="1:13" x14ac:dyDescent="0.3">
      <c r="A12" t="str">
        <f>'Account Mastery_Reference'!B6</f>
        <v>M005</v>
      </c>
      <c r="B12" t="str">
        <f>'Account Mastery_Reference'!A6</f>
        <v>CLIENT DOCUMENTATION</v>
      </c>
      <c r="C12" t="str">
        <f>'Account Mastery_Reference'!C6</f>
        <v>Client Journey Map Completed</v>
      </c>
      <c r="D12" t="str">
        <f>'Account Mastery_Reference'!D6</f>
        <v>OK</v>
      </c>
      <c r="E12">
        <f>'Account Mastery_Reference'!N6</f>
        <v>-13</v>
      </c>
      <c r="F12">
        <f t="shared" si="1"/>
        <v>0</v>
      </c>
      <c r="H12">
        <v>1</v>
      </c>
      <c r="I12">
        <v>0</v>
      </c>
      <c r="J12" t="s">
        <v>32</v>
      </c>
    </row>
    <row r="13" spans="1:13" x14ac:dyDescent="0.3">
      <c r="A13" t="str">
        <f>'Account Mastery_Reference'!B7</f>
        <v>M006</v>
      </c>
      <c r="B13" t="str">
        <f>'Account Mastery_Reference'!A7</f>
        <v>CLIENT DOCUMENTATION</v>
      </c>
      <c r="C13" t="str">
        <f>'Account Mastery_Reference'!C7</f>
        <v>Account Risk Status Up to Date</v>
      </c>
      <c r="D13" t="str">
        <f>'Account Mastery_Reference'!D7</f>
        <v>OK</v>
      </c>
      <c r="E13">
        <f>'Account Mastery_Reference'!N7</f>
        <v>-13</v>
      </c>
      <c r="F13">
        <f t="shared" si="1"/>
        <v>0</v>
      </c>
    </row>
    <row r="14" spans="1:13" x14ac:dyDescent="0.3">
      <c r="A14" t="str">
        <f>'Account Mastery_Reference'!B8</f>
        <v>M007</v>
      </c>
      <c r="B14" t="str">
        <f>'Account Mastery_Reference'!A8</f>
        <v>ACCOUNT MANAGEMENT</v>
      </c>
      <c r="C14" t="str">
        <f>'Account Mastery_Reference'!C8</f>
        <v>Gong Call Cadence — Last 90 Days</v>
      </c>
      <c r="D14" t="str">
        <f>'Account Mastery_Reference'!D8</f>
        <v>OK</v>
      </c>
      <c r="E14">
        <f>'Account Mastery_Reference'!N8</f>
        <v>-11</v>
      </c>
      <c r="F14">
        <f t="shared" si="1"/>
        <v>0</v>
      </c>
    </row>
    <row r="15" spans="1:13" x14ac:dyDescent="0.3">
      <c r="A15" t="str">
        <f>'Account Mastery_Reference'!B9</f>
        <v>M008</v>
      </c>
      <c r="B15" t="str">
        <f>'Account Mastery_Reference'!A9</f>
        <v>CSM KNOWLEDGE (MANUAL — QR CALL)</v>
      </c>
      <c r="C15" t="str">
        <f>'Account Mastery_Reference'!C9</f>
        <v>CSM Can Articulate DSP Strategy</v>
      </c>
      <c r="D15" t="str">
        <f>'Account Mastery_Reference'!D9</f>
        <v>OK</v>
      </c>
      <c r="E15">
        <f>'Account Mastery_Reference'!N9</f>
        <v>-13</v>
      </c>
      <c r="F15">
        <f t="shared" si="1"/>
        <v>0</v>
      </c>
    </row>
    <row r="16" spans="1:13" x14ac:dyDescent="0.3">
      <c r="A16" t="str">
        <f>'Account Mastery_Reference'!B10</f>
        <v>M009</v>
      </c>
      <c r="B16" t="str">
        <f>'Account Mastery_Reference'!A10</f>
        <v>CSM KNOWLEDGE (MANUAL — QR CALL)</v>
      </c>
      <c r="C16" t="str">
        <f>'Account Mastery_Reference'!C10</f>
        <v>CSM–Strategist Alignment Clear</v>
      </c>
      <c r="D16" t="str">
        <f>'Account Mastery_Reference'!D10</f>
        <v>OK</v>
      </c>
      <c r="E16">
        <f>'Account Mastery_Reference'!N10</f>
        <v>-11</v>
      </c>
      <c r="F16">
        <f t="shared" si="1"/>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Account Mastery_Analysis</vt:lpstr>
      <vt:lpstr>Account Mastery_Reference</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2026-04-24T12:57:23Z</dcterms:modified>
</cp:coreProperties>
</file>